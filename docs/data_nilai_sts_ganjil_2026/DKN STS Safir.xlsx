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<sst xmlns="http://schemas.openxmlformats.org/spreadsheetml/2006/main" count="60" uniqueCount="54">
  <si>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DAFTAR KOLEKTIF NILAI KURIKULUM MERDEKA</t>
  </si>
  <si>
    <t xml:space="preserve">SMP SWASTA  IT AD DURRAH </t>
  </si>
  <si>
    <t xml:space="preserve">KELAS </t>
  </si>
  <si>
    <t xml:space="preserve">: </t>
  </si>
  <si>
    <t>MATA PELAJARAN</t>
  </si>
  <si>
    <t>SEMESTER</t>
  </si>
  <si>
    <t>NO</t>
  </si>
  <si>
    <t xml:space="preserve">NAMA </t>
  </si>
  <si>
    <t>FORMATIF / NH</t>
  </si>
  <si>
    <t>FORMATIF / UH</t>
  </si>
  <si>
    <t>SUMATIF</t>
  </si>
  <si>
    <t>RATA-RATA</t>
  </si>
  <si>
    <t>NR</t>
  </si>
  <si>
    <t>NB :</t>
  </si>
  <si>
    <t>LM 1</t>
  </si>
  <si>
    <t>LM 2</t>
  </si>
  <si>
    <t>LM3</t>
  </si>
  <si>
    <t>LM4</t>
  </si>
  <si>
    <t>LM5</t>
  </si>
  <si>
    <t>LM2</t>
  </si>
  <si>
    <t>STS</t>
  </si>
  <si>
    <t>NH</t>
  </si>
  <si>
    <t>UH</t>
  </si>
  <si>
    <t>LM = Lingkup Materi ( KD )</t>
  </si>
  <si>
    <t>AISYAH RABIUL AWALIYAH PURBA</t>
  </si>
  <si>
    <t>NH = Nilai Harian</t>
  </si>
  <si>
    <t>Alifa Nur Zahirah</t>
  </si>
  <si>
    <t>UH = Ulangan Harian</t>
  </si>
  <si>
    <t>ALYA JAZILA ARANI</t>
  </si>
  <si>
    <t>US = Ujian Sekolah</t>
  </si>
  <si>
    <t>AMELIA FENETA ZULHAM</t>
  </si>
  <si>
    <t xml:space="preserve">NR = Nilai Raport </t>
  </si>
  <si>
    <t>AQILA AZ ZAHWA</t>
  </si>
  <si>
    <t>Pembagi Rata2 Disesuaikan dengan bayaknya LM</t>
  </si>
  <si>
    <t>Aqilah Khanza Ramadhani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</si>
  <si>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</si>
  <si>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</si>
  <si>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</si>
  <si>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</si>
  <si>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</si>
  <si>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</si>
  <si>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</si>
  <si>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</si>
  <si>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</si>
  <si>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</si>
  <si>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</si>
  <si>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</si>
  <si>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</si>
  <si>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</si>
  <si>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</si>
  <si>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</si>
  <si>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Medan,     Januari 2026</t>
  </si>
  <si>
    <t>Guru Bidang Study</t>
  </si>
  <si>
    <t>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</si>
</sst>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FF0000"/>
      <name val="Times New Roman"/>
      <charset val="134"/>
    </font>
    <font>
      <sz val="11"/>
      <color rgb="FFFF0000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1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/>
    <xf numFmtId="0" fontId="3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Alignment="1"/>
    <xf numFmtId="1" fontId="2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2" borderId="1" xfId="0" applyFill="1" applyBorder="1"/>
    <xf numFmtId="0" fontId="0" fillId="0" borderId="1" xfId="0" applyBorder="1"/>
    <xf numFmtId="1" fontId="2" fillId="0" borderId="0" xfId="0" applyNumberFormat="1" applyFont="1"/>
    <xf numFmtId="0" fontId="9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2" borderId="0" xfId="0" applyFill="1" applyBorder="1"/>
    <xf numFmtId="0" fontId="2" fillId="0" borderId="1" xfId="0" applyFont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colors>
    <mruColors>
      <color rgb="0000FF00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zoomScale="80" zoomScaleNormal="80" topLeftCell="A8" workbookViewId="0">
      <selection activeCell="O10" sqref="O10:O31"/>
    </sheetView>
  </sheetViews>
  <sheetFormatPr defaultColWidth="9" defaultRowHeight="15"/>
  <cols>
    <col min="2" max="2" width="40.1809523809524" customWidth="1"/>
    <col min="10" max="10" width="9.26666666666667" customWidth="1"/>
    <col min="13" max="13" width="14" customWidth="1"/>
    <col min="14" max="14" width="10.7238095238095" customWidth="1"/>
    <col min="15" max="15" width="12.9047619047619" customWidth="1"/>
    <col min="16" max="16" width="38.3619047619048" customWidth="1"/>
    <col min="23" max="23" width="11.5428571428571" customWidth="1"/>
    <col min="25" max="25" width="28.3619047619048" customWidth="1"/>
  </cols>
  <sheetData>
    <row r="1" ht="18.7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ht="18.75" spans="1:18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3" t="s">
        <v>2</v>
      </c>
      <c r="B4" s="2"/>
      <c r="C4" s="3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3" t="s">
        <v>4</v>
      </c>
      <c r="B5" s="2"/>
      <c r="C5" s="3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3" t="s">
        <v>5</v>
      </c>
      <c r="B6" s="2"/>
      <c r="C6" s="3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ht="15.5" customHeight="1" spans="1:18">
      <c r="A8" s="4" t="s">
        <v>6</v>
      </c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  <c r="J8" s="7"/>
      <c r="K8" s="7"/>
      <c r="L8" s="7"/>
      <c r="M8" s="8" t="s">
        <v>10</v>
      </c>
      <c r="N8" s="9" t="s">
        <v>11</v>
      </c>
      <c r="O8" s="10"/>
      <c r="P8" s="11" t="s">
        <v>12</v>
      </c>
      <c r="R8" s="12" t="s">
        <v>13</v>
      </c>
    </row>
    <row r="9" ht="14.5" customHeight="1" spans="1:18">
      <c r="A9" s="4"/>
      <c r="B9" s="5"/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7" t="s">
        <v>14</v>
      </c>
      <c r="I9" s="7" t="s">
        <v>19</v>
      </c>
      <c r="J9" s="7" t="s">
        <v>16</v>
      </c>
      <c r="K9" s="7" t="s">
        <v>17</v>
      </c>
      <c r="L9" s="7" t="s">
        <v>18</v>
      </c>
      <c r="M9" s="8" t="s">
        <v>20</v>
      </c>
      <c r="N9" s="13" t="s">
        <v>21</v>
      </c>
      <c r="O9" s="13" t="s">
        <v>22</v>
      </c>
      <c r="P9" s="14"/>
      <c r="R9" s="3" t="s">
        <v>23</v>
      </c>
    </row>
    <row r="10" spans="1:18">
      <c r="A10" s="15">
        <v>1</v>
      </c>
      <c r="B10" s="16" t="s">
        <v>24</v>
      </c>
      <c r="C10" s="17">
        <v>90</v>
      </c>
      <c r="D10" s="15">
        <v>90</v>
      </c>
      <c r="E10" s="18"/>
      <c r="F10" s="19"/>
      <c r="G10" s="19"/>
      <c r="H10" s="20">
        <v>85</v>
      </c>
      <c r="I10" s="20">
        <v>85</v>
      </c>
      <c r="J10" s="20"/>
      <c r="K10" s="20"/>
      <c r="L10" s="20"/>
      <c r="M10" s="21">
        <v>87</v>
      </c>
      <c r="N10" s="18">
        <f>AVERAGE(C10:D10)</f>
        <v>90</v>
      </c>
      <c r="O10" s="18">
        <f>AVERAGE(H10:I10)</f>
        <v>85</v>
      </c>
      <c r="P10" s="17">
        <f>(M10*30/100)+(N10*35/100)+(O10*35/100)</f>
        <v>87.35</v>
      </c>
      <c r="R10" s="3" t="s">
        <v>25</v>
      </c>
    </row>
    <row r="11" spans="1:18">
      <c r="A11" s="15">
        <v>2</v>
      </c>
      <c r="B11" s="16" t="s">
        <v>26</v>
      </c>
      <c r="C11" s="17">
        <v>90</v>
      </c>
      <c r="D11" s="17">
        <v>90</v>
      </c>
      <c r="E11" s="17"/>
      <c r="F11" s="22"/>
      <c r="G11" s="22"/>
      <c r="H11" s="15">
        <v>85</v>
      </c>
      <c r="I11" s="15">
        <v>85</v>
      </c>
      <c r="J11" s="15"/>
      <c r="K11" s="15"/>
      <c r="L11" s="15"/>
      <c r="M11" s="23">
        <v>71</v>
      </c>
      <c r="N11" s="18">
        <f t="shared" ref="N11:N19" si="0">AVERAGE(C11:D11)</f>
        <v>90</v>
      </c>
      <c r="O11" s="18">
        <f t="shared" ref="O11:O31" si="1">AVERAGE(H11:I11)</f>
        <v>85</v>
      </c>
      <c r="P11" s="17">
        <f t="shared" ref="P11:P44" si="2">(M11*30/100)+(N11*35/100)+(O11*35/100)</f>
        <v>82.55</v>
      </c>
      <c r="R11" s="3" t="s">
        <v>27</v>
      </c>
    </row>
    <row r="12" spans="1:18">
      <c r="A12" s="15">
        <v>3</v>
      </c>
      <c r="B12" s="16" t="s">
        <v>28</v>
      </c>
      <c r="C12" s="17">
        <v>90</v>
      </c>
      <c r="D12" s="15">
        <v>90</v>
      </c>
      <c r="E12" s="17"/>
      <c r="F12" s="22"/>
      <c r="G12" s="22"/>
      <c r="H12" s="20">
        <v>85</v>
      </c>
      <c r="I12" s="20">
        <v>90</v>
      </c>
      <c r="J12" s="15"/>
      <c r="K12" s="15"/>
      <c r="L12" s="15"/>
      <c r="M12" s="23">
        <v>76</v>
      </c>
      <c r="N12" s="18">
        <f t="shared" si="0"/>
        <v>90</v>
      </c>
      <c r="O12" s="18">
        <f t="shared" si="1"/>
        <v>87.5</v>
      </c>
      <c r="P12" s="17">
        <f t="shared" si="2"/>
        <v>84.925</v>
      </c>
      <c r="R12" s="3" t="s">
        <v>29</v>
      </c>
    </row>
    <row r="13" spans="1:18">
      <c r="A13" s="15">
        <v>4</v>
      </c>
      <c r="B13" s="16" t="s">
        <v>30</v>
      </c>
      <c r="C13" s="17">
        <v>90</v>
      </c>
      <c r="D13" s="17">
        <v>90</v>
      </c>
      <c r="E13" s="17"/>
      <c r="F13" s="22"/>
      <c r="G13" s="22"/>
      <c r="H13" s="15">
        <v>85</v>
      </c>
      <c r="I13" s="15">
        <v>85</v>
      </c>
      <c r="J13" s="15"/>
      <c r="K13" s="15"/>
      <c r="L13" s="15"/>
      <c r="M13" s="23">
        <v>69</v>
      </c>
      <c r="N13" s="18">
        <f t="shared" si="0"/>
        <v>90</v>
      </c>
      <c r="O13" s="18">
        <f t="shared" si="1"/>
        <v>85</v>
      </c>
      <c r="P13" s="17">
        <f t="shared" si="2"/>
        <v>81.95</v>
      </c>
      <c r="R13" s="3" t="s">
        <v>31</v>
      </c>
    </row>
    <row r="14" spans="1:18">
      <c r="A14" s="15">
        <v>5</v>
      </c>
      <c r="B14" s="16" t="s">
        <v>32</v>
      </c>
      <c r="C14" s="17">
        <v>85</v>
      </c>
      <c r="D14" s="15">
        <v>85</v>
      </c>
      <c r="E14" s="17"/>
      <c r="F14" s="22"/>
      <c r="G14" s="22"/>
      <c r="H14" s="20">
        <v>90</v>
      </c>
      <c r="I14" s="20">
        <v>90</v>
      </c>
      <c r="J14" s="15"/>
      <c r="K14" s="15"/>
      <c r="L14" s="15"/>
      <c r="M14" s="23">
        <v>60</v>
      </c>
      <c r="N14" s="18">
        <f t="shared" si="0"/>
        <v>85</v>
      </c>
      <c r="O14" s="18">
        <f t="shared" si="1"/>
        <v>90</v>
      </c>
      <c r="P14" s="17">
        <f t="shared" si="2"/>
        <v>79.25</v>
      </c>
      <c r="R14" s="3" t="s">
        <v>33</v>
      </c>
    </row>
    <row r="15" spans="1:18">
      <c r="A15" s="15">
        <v>6</v>
      </c>
      <c r="B15" s="16" t="s">
        <v>34</v>
      </c>
      <c r="C15" s="17">
        <v>90</v>
      </c>
      <c r="D15" s="17">
        <v>90</v>
      </c>
      <c r="E15" s="17"/>
      <c r="F15" s="22"/>
      <c r="G15" s="22"/>
      <c r="H15" s="15">
        <v>85</v>
      </c>
      <c r="I15" s="15">
        <v>85</v>
      </c>
      <c r="J15" s="15"/>
      <c r="K15" s="15"/>
      <c r="L15" s="15"/>
      <c r="M15" s="23">
        <v>83</v>
      </c>
      <c r="N15" s="18">
        <f t="shared" si="0"/>
        <v>90</v>
      </c>
      <c r="O15" s="18">
        <f t="shared" si="1"/>
        <v>85</v>
      </c>
      <c r="P15" s="17">
        <f t="shared" si="2"/>
        <v>86.15</v>
      </c>
      <c r="R15" s="24"/>
    </row>
    <row r="16" spans="1:18">
      <c r="A16" s="15">
        <v>7</v>
      </c>
      <c r="B16" s="16" t="s">
        <v>35</v>
      </c>
      <c r="C16" s="17">
        <v>90</v>
      </c>
      <c r="D16" s="15">
        <v>90</v>
      </c>
      <c r="E16" s="17"/>
      <c r="F16" s="22"/>
      <c r="G16" s="22"/>
      <c r="H16" s="20">
        <v>85</v>
      </c>
      <c r="I16" s="20">
        <v>85</v>
      </c>
      <c r="J16" s="15"/>
      <c r="K16" s="15"/>
      <c r="L16" s="15"/>
      <c r="M16" s="23">
        <v>65</v>
      </c>
      <c r="N16" s="18">
        <f t="shared" si="0"/>
        <v>90</v>
      </c>
      <c r="O16" s="18">
        <f t="shared" si="1"/>
        <v>85</v>
      </c>
      <c r="P16" s="17">
        <f t="shared" si="2"/>
        <v>80.75</v>
      </c>
      <c r="R16" s="24"/>
    </row>
    <row r="17" spans="1:18">
      <c r="A17" s="15">
        <v>8</v>
      </c>
      <c r="B17" s="16" t="s">
        <v>36</v>
      </c>
      <c r="C17" s="17">
        <v>80</v>
      </c>
      <c r="D17" s="17">
        <v>80</v>
      </c>
      <c r="E17" s="17"/>
      <c r="F17" s="22"/>
      <c r="G17" s="22"/>
      <c r="H17" s="15">
        <v>85</v>
      </c>
      <c r="I17" s="15">
        <v>85</v>
      </c>
      <c r="J17" s="15"/>
      <c r="K17" s="15"/>
      <c r="L17" s="15"/>
      <c r="M17" s="23">
        <v>77</v>
      </c>
      <c r="N17" s="18">
        <f t="shared" si="0"/>
        <v>80</v>
      </c>
      <c r="O17" s="18">
        <f t="shared" si="1"/>
        <v>85</v>
      </c>
      <c r="P17" s="17">
        <f t="shared" si="2"/>
        <v>80.85</v>
      </c>
      <c r="R17" s="24"/>
    </row>
    <row r="18" spans="1:18">
      <c r="A18" s="15">
        <v>9</v>
      </c>
      <c r="B18" s="16" t="s">
        <v>37</v>
      </c>
      <c r="C18" s="17">
        <v>90</v>
      </c>
      <c r="D18" s="15">
        <v>90</v>
      </c>
      <c r="E18" s="17"/>
      <c r="F18" s="22"/>
      <c r="G18" s="22"/>
      <c r="H18" s="20">
        <v>85</v>
      </c>
      <c r="I18" s="20">
        <v>85</v>
      </c>
      <c r="J18" s="15"/>
      <c r="K18" s="15"/>
      <c r="L18" s="15"/>
      <c r="M18" s="23">
        <v>68</v>
      </c>
      <c r="N18" s="18">
        <f t="shared" si="0"/>
        <v>90</v>
      </c>
      <c r="O18" s="18">
        <f t="shared" si="1"/>
        <v>85</v>
      </c>
      <c r="P18" s="17">
        <f t="shared" si="2"/>
        <v>81.65</v>
      </c>
      <c r="R18" s="24"/>
    </row>
    <row r="19" spans="1:18">
      <c r="A19" s="15">
        <v>10</v>
      </c>
      <c r="B19" s="16" t="s">
        <v>38</v>
      </c>
      <c r="C19" s="17">
        <v>80</v>
      </c>
      <c r="D19" s="17">
        <v>80</v>
      </c>
      <c r="E19" s="17"/>
      <c r="F19" s="22"/>
      <c r="G19" s="22"/>
      <c r="H19" s="15">
        <v>85</v>
      </c>
      <c r="I19" s="15">
        <v>85</v>
      </c>
      <c r="J19" s="15"/>
      <c r="K19" s="15"/>
      <c r="L19" s="15"/>
      <c r="M19" s="23">
        <v>85</v>
      </c>
      <c r="N19" s="18">
        <f t="shared" si="0"/>
        <v>80</v>
      </c>
      <c r="O19" s="18">
        <f t="shared" si="1"/>
        <v>85</v>
      </c>
      <c r="P19" s="17">
        <f t="shared" si="2"/>
        <v>83.25</v>
      </c>
      <c r="R19" s="24"/>
    </row>
    <row r="20" spans="1:18">
      <c r="A20" s="15">
        <v>11</v>
      </c>
      <c r="B20" s="16" t="s">
        <v>39</v>
      </c>
      <c r="C20" s="17">
        <v>90</v>
      </c>
      <c r="D20" s="15">
        <v>90</v>
      </c>
      <c r="E20" s="17"/>
      <c r="F20" s="22"/>
      <c r="G20" s="22"/>
      <c r="H20" s="20">
        <v>90</v>
      </c>
      <c r="I20" s="20">
        <v>90</v>
      </c>
      <c r="J20" s="15"/>
      <c r="K20" s="15"/>
      <c r="L20" s="15"/>
      <c r="M20" s="23">
        <v>60</v>
      </c>
      <c r="N20" s="18">
        <f t="shared" ref="N20:N31" si="3">AVERAGE(C20:D20)</f>
        <v>90</v>
      </c>
      <c r="O20" s="18">
        <f t="shared" si="1"/>
        <v>90</v>
      </c>
      <c r="P20" s="17">
        <f t="shared" si="2"/>
        <v>81</v>
      </c>
      <c r="R20" s="24"/>
    </row>
    <row r="21" spans="1:18">
      <c r="A21" s="15">
        <v>12</v>
      </c>
      <c r="B21" s="16" t="s">
        <v>40</v>
      </c>
      <c r="C21" s="17">
        <v>90</v>
      </c>
      <c r="D21" s="17">
        <v>90</v>
      </c>
      <c r="E21" s="17"/>
      <c r="F21" s="22"/>
      <c r="G21" s="22"/>
      <c r="H21" s="15">
        <v>85</v>
      </c>
      <c r="I21" s="15">
        <v>85</v>
      </c>
      <c r="J21" s="15"/>
      <c r="K21" s="15"/>
      <c r="L21" s="15"/>
      <c r="M21" s="23">
        <v>60</v>
      </c>
      <c r="N21" s="18">
        <f t="shared" si="3"/>
        <v>90</v>
      </c>
      <c r="O21" s="18">
        <f t="shared" si="1"/>
        <v>85</v>
      </c>
      <c r="P21" s="17">
        <f t="shared" si="2"/>
        <v>79.25</v>
      </c>
      <c r="R21" s="24"/>
    </row>
    <row r="22" spans="1:18">
      <c r="A22" s="15">
        <v>13</v>
      </c>
      <c r="B22" s="16" t="s">
        <v>41</v>
      </c>
      <c r="C22" s="17">
        <v>90</v>
      </c>
      <c r="D22" s="15">
        <v>90</v>
      </c>
      <c r="E22" s="17"/>
      <c r="F22" s="22"/>
      <c r="G22" s="22"/>
      <c r="H22" s="20">
        <v>85</v>
      </c>
      <c r="I22" s="20">
        <v>85</v>
      </c>
      <c r="J22" s="15"/>
      <c r="K22" s="15"/>
      <c r="L22" s="15"/>
      <c r="M22" s="23">
        <v>81</v>
      </c>
      <c r="N22" s="18">
        <f t="shared" si="3"/>
        <v>90</v>
      </c>
      <c r="O22" s="18">
        <f t="shared" si="1"/>
        <v>85</v>
      </c>
      <c r="P22" s="17">
        <f t="shared" si="2"/>
        <v>85.55</v>
      </c>
      <c r="R22" s="24"/>
    </row>
    <row r="23" spans="1:18">
      <c r="A23" s="15">
        <v>14</v>
      </c>
      <c r="B23" s="16" t="s">
        <v>42</v>
      </c>
      <c r="C23" s="17">
        <v>90</v>
      </c>
      <c r="D23" s="17">
        <v>90</v>
      </c>
      <c r="E23" s="17"/>
      <c r="F23" s="22"/>
      <c r="G23" s="22"/>
      <c r="H23" s="15">
        <v>85</v>
      </c>
      <c r="I23" s="15">
        <v>85</v>
      </c>
      <c r="J23" s="15"/>
      <c r="K23" s="15"/>
      <c r="L23" s="15"/>
      <c r="M23" s="23">
        <v>58</v>
      </c>
      <c r="N23" s="18">
        <f t="shared" si="3"/>
        <v>90</v>
      </c>
      <c r="O23" s="18">
        <f t="shared" si="1"/>
        <v>85</v>
      </c>
      <c r="P23" s="17">
        <f t="shared" si="2"/>
        <v>78.65</v>
      </c>
      <c r="R23" s="24"/>
    </row>
    <row r="24" spans="1:18">
      <c r="A24" s="15">
        <v>15</v>
      </c>
      <c r="B24" s="16" t="s">
        <v>43</v>
      </c>
      <c r="C24" s="17">
        <v>85</v>
      </c>
      <c r="D24" s="15">
        <v>85</v>
      </c>
      <c r="E24" s="17"/>
      <c r="F24" s="22"/>
      <c r="G24" s="22"/>
      <c r="H24" s="20">
        <v>85</v>
      </c>
      <c r="I24" s="20">
        <v>85</v>
      </c>
      <c r="J24" s="15"/>
      <c r="K24" s="15"/>
      <c r="L24" s="15"/>
      <c r="M24" s="23">
        <v>78</v>
      </c>
      <c r="N24" s="18">
        <f t="shared" si="3"/>
        <v>85</v>
      </c>
      <c r="O24" s="18">
        <f t="shared" si="1"/>
        <v>85</v>
      </c>
      <c r="P24" s="17">
        <f t="shared" si="2"/>
        <v>82.9</v>
      </c>
      <c r="R24" s="24"/>
    </row>
    <row r="25" spans="1:18">
      <c r="A25" s="15">
        <v>16</v>
      </c>
      <c r="B25" s="16" t="s">
        <v>44</v>
      </c>
      <c r="C25" s="17">
        <v>85</v>
      </c>
      <c r="D25" s="17">
        <v>90</v>
      </c>
      <c r="E25" s="17"/>
      <c r="F25" s="22"/>
      <c r="G25" s="22"/>
      <c r="H25" s="15">
        <v>85</v>
      </c>
      <c r="I25" s="15">
        <v>85</v>
      </c>
      <c r="J25" s="15"/>
      <c r="K25" s="15"/>
      <c r="L25" s="15"/>
      <c r="M25" s="23">
        <v>63</v>
      </c>
      <c r="N25" s="18">
        <f t="shared" si="3"/>
        <v>87.5</v>
      </c>
      <c r="O25" s="18">
        <f t="shared" si="1"/>
        <v>85</v>
      </c>
      <c r="P25" s="17">
        <f t="shared" si="2"/>
        <v>79.275</v>
      </c>
      <c r="R25" s="24"/>
    </row>
    <row r="26" spans="1:18">
      <c r="A26" s="15">
        <v>17</v>
      </c>
      <c r="B26" s="16" t="s">
        <v>45</v>
      </c>
      <c r="C26" s="17">
        <v>90</v>
      </c>
      <c r="D26" s="15">
        <v>90</v>
      </c>
      <c r="E26" s="17"/>
      <c r="F26" s="22"/>
      <c r="G26" s="22"/>
      <c r="H26" s="20">
        <v>85</v>
      </c>
      <c r="I26" s="20">
        <v>85</v>
      </c>
      <c r="J26" s="15"/>
      <c r="K26" s="15"/>
      <c r="L26" s="15"/>
      <c r="M26" s="23">
        <v>81</v>
      </c>
      <c r="N26" s="18">
        <f t="shared" si="3"/>
        <v>90</v>
      </c>
      <c r="O26" s="18">
        <f t="shared" si="1"/>
        <v>85</v>
      </c>
      <c r="P26" s="17">
        <f t="shared" si="2"/>
        <v>85.55</v>
      </c>
      <c r="R26" s="24"/>
    </row>
    <row r="27" spans="1:18">
      <c r="A27" s="15">
        <v>18</v>
      </c>
      <c r="B27" s="16" t="s">
        <v>46</v>
      </c>
      <c r="C27" s="17">
        <v>80</v>
      </c>
      <c r="D27" s="17">
        <v>80</v>
      </c>
      <c r="E27" s="17"/>
      <c r="F27" s="22"/>
      <c r="G27" s="22"/>
      <c r="H27" s="15">
        <v>85</v>
      </c>
      <c r="I27" s="15">
        <v>85</v>
      </c>
      <c r="J27" s="15"/>
      <c r="K27" s="15"/>
      <c r="L27" s="15"/>
      <c r="M27" s="23">
        <v>67</v>
      </c>
      <c r="N27" s="18">
        <f t="shared" si="3"/>
        <v>80</v>
      </c>
      <c r="O27" s="18">
        <f t="shared" si="1"/>
        <v>85</v>
      </c>
      <c r="P27" s="17">
        <f t="shared" si="2"/>
        <v>77.85</v>
      </c>
      <c r="R27" s="24"/>
    </row>
    <row r="28" spans="1:18">
      <c r="A28" s="15">
        <v>19</v>
      </c>
      <c r="B28" s="16" t="s">
        <v>47</v>
      </c>
      <c r="C28" s="17">
        <v>90</v>
      </c>
      <c r="D28" s="15">
        <v>90</v>
      </c>
      <c r="E28" s="17"/>
      <c r="F28" s="22"/>
      <c r="G28" s="22"/>
      <c r="H28" s="20">
        <v>85</v>
      </c>
      <c r="I28" s="20">
        <v>85</v>
      </c>
      <c r="J28" s="15"/>
      <c r="K28" s="15"/>
      <c r="L28" s="15"/>
      <c r="M28" s="23">
        <v>88</v>
      </c>
      <c r="N28" s="18">
        <f t="shared" si="3"/>
        <v>90</v>
      </c>
      <c r="O28" s="18">
        <f t="shared" si="1"/>
        <v>85</v>
      </c>
      <c r="P28" s="17">
        <f t="shared" si="2"/>
        <v>87.65</v>
      </c>
      <c r="R28" s="24"/>
    </row>
    <row r="29" spans="1:18">
      <c r="A29" s="15">
        <v>20</v>
      </c>
      <c r="B29" s="16" t="s">
        <v>48</v>
      </c>
      <c r="C29" s="17">
        <v>90</v>
      </c>
      <c r="D29" s="17">
        <v>90</v>
      </c>
      <c r="E29" s="17"/>
      <c r="F29" s="22"/>
      <c r="G29" s="22"/>
      <c r="H29" s="15">
        <v>85</v>
      </c>
      <c r="I29" s="15">
        <v>85</v>
      </c>
      <c r="J29" s="15"/>
      <c r="K29" s="15"/>
      <c r="L29" s="15"/>
      <c r="M29" s="23">
        <v>75</v>
      </c>
      <c r="N29" s="18">
        <f t="shared" si="3"/>
        <v>90</v>
      </c>
      <c r="O29" s="18">
        <f t="shared" si="1"/>
        <v>85</v>
      </c>
      <c r="P29" s="17">
        <f t="shared" si="2"/>
        <v>83.75</v>
      </c>
      <c r="R29" s="24"/>
    </row>
    <row r="30" spans="1:18">
      <c r="A30" s="15">
        <v>21</v>
      </c>
      <c r="B30" s="16" t="s">
        <v>49</v>
      </c>
      <c r="C30" s="17">
        <v>90</v>
      </c>
      <c r="D30" s="15">
        <v>90</v>
      </c>
      <c r="E30" s="17"/>
      <c r="F30" s="22"/>
      <c r="G30" s="22"/>
      <c r="H30" s="20">
        <v>85</v>
      </c>
      <c r="I30" s="20">
        <v>85</v>
      </c>
      <c r="J30" s="15"/>
      <c r="K30" s="15"/>
      <c r="L30" s="15"/>
      <c r="M30" s="23">
        <v>90</v>
      </c>
      <c r="N30" s="18">
        <f t="shared" si="3"/>
        <v>90</v>
      </c>
      <c r="O30" s="18">
        <f t="shared" si="1"/>
        <v>85</v>
      </c>
      <c r="P30" s="17">
        <f t="shared" si="2"/>
        <v>88.25</v>
      </c>
      <c r="R30" s="24"/>
    </row>
    <row r="31" spans="1:18">
      <c r="A31" s="15">
        <v>22</v>
      </c>
      <c r="B31" s="16" t="s">
        <v>50</v>
      </c>
      <c r="C31" s="17">
        <v>90</v>
      </c>
      <c r="D31" s="17">
        <v>90</v>
      </c>
      <c r="E31" s="17"/>
      <c r="F31" s="22"/>
      <c r="G31" s="22"/>
      <c r="H31" s="15">
        <v>85</v>
      </c>
      <c r="I31" s="15">
        <v>85</v>
      </c>
      <c r="J31" s="15"/>
      <c r="K31" s="15"/>
      <c r="L31" s="15"/>
      <c r="M31" s="23">
        <v>87</v>
      </c>
      <c r="N31" s="18">
        <f t="shared" si="3"/>
        <v>90</v>
      </c>
      <c r="O31" s="18">
        <f t="shared" si="1"/>
        <v>85</v>
      </c>
      <c r="P31" s="17">
        <f t="shared" si="2"/>
        <v>87.35</v>
      </c>
      <c r="R31" s="24"/>
    </row>
    <row r="32" ht="15.75" spans="1:18">
      <c r="A32" s="15">
        <v>23</v>
      </c>
      <c r="B32" s="25"/>
      <c r="C32" s="17"/>
      <c r="D32" s="17"/>
      <c r="E32" s="17"/>
      <c r="F32" s="22"/>
      <c r="G32" s="22"/>
      <c r="H32" s="15"/>
      <c r="I32" s="15"/>
      <c r="J32" s="15"/>
      <c r="K32" s="15"/>
      <c r="L32" s="15"/>
      <c r="M32" s="23"/>
      <c r="N32" s="17"/>
      <c r="O32" s="17"/>
      <c r="P32" s="17">
        <f t="shared" si="2"/>
        <v>0</v>
      </c>
      <c r="R32" s="24"/>
    </row>
    <row r="33" ht="15.75" spans="1:27">
      <c r="A33" s="15">
        <v>24</v>
      </c>
      <c r="B33" s="25"/>
      <c r="C33" s="17"/>
      <c r="D33" s="17"/>
      <c r="E33" s="17"/>
      <c r="F33" s="22"/>
      <c r="G33" s="22"/>
      <c r="H33" s="15"/>
      <c r="I33" s="15"/>
      <c r="J33" s="15"/>
      <c r="K33" s="15"/>
      <c r="L33" s="15"/>
      <c r="M33" s="23"/>
      <c r="N33" s="17"/>
      <c r="O33" s="17"/>
      <c r="P33" s="17">
        <f t="shared" si="2"/>
        <v>0</v>
      </c>
      <c r="R33" s="24"/>
    </row>
    <row r="34" ht="15.75" spans="1:27">
      <c r="A34" s="15">
        <v>25</v>
      </c>
      <c r="B34" s="25"/>
      <c r="C34" s="17"/>
      <c r="D34" s="17"/>
      <c r="E34" s="17"/>
      <c r="F34" s="22"/>
      <c r="G34" s="22"/>
      <c r="H34" s="15"/>
      <c r="I34" s="15"/>
      <c r="J34" s="15"/>
      <c r="K34" s="15"/>
      <c r="L34" s="15"/>
      <c r="M34" s="23"/>
      <c r="N34" s="17"/>
      <c r="O34" s="17"/>
      <c r="P34" s="17">
        <f t="shared" si="2"/>
        <v>0</v>
      </c>
      <c r="R34" s="24"/>
    </row>
    <row r="35" ht="15.75" spans="1:27">
      <c r="A35" s="15">
        <v>26</v>
      </c>
      <c r="B35" s="25"/>
      <c r="C35" s="17"/>
      <c r="D35" s="17"/>
      <c r="E35" s="17"/>
      <c r="F35" s="22"/>
      <c r="G35" s="22"/>
      <c r="H35" s="15"/>
      <c r="I35" s="15"/>
      <c r="J35" s="15"/>
      <c r="K35" s="26"/>
      <c r="L35" s="26"/>
      <c r="M35" s="23"/>
      <c r="N35" s="17"/>
      <c r="O35" s="17"/>
      <c r="P35" s="17">
        <f t="shared" si="2"/>
        <v>0</v>
      </c>
      <c r="R35" s="24"/>
    </row>
    <row r="36" ht="15.75" spans="1:27">
      <c r="A36" s="15">
        <v>27</v>
      </c>
      <c r="B36" s="25"/>
      <c r="C36" s="17"/>
      <c r="D36" s="15"/>
      <c r="E36" s="17"/>
      <c r="F36" s="22"/>
      <c r="G36" s="22"/>
      <c r="H36" s="15"/>
      <c r="I36" s="15"/>
      <c r="J36" s="15"/>
      <c r="K36" s="15"/>
      <c r="L36" s="15"/>
      <c r="M36" s="23"/>
      <c r="N36" s="17"/>
      <c r="O36" s="17"/>
      <c r="P36" s="17">
        <f t="shared" si="2"/>
        <v>0</v>
      </c>
      <c r="R36" s="24"/>
    </row>
    <row r="37" ht="15.75" spans="1:27">
      <c r="A37" s="15">
        <v>28</v>
      </c>
      <c r="B37" s="25"/>
      <c r="C37" s="17"/>
      <c r="D37" s="17"/>
      <c r="E37" s="17"/>
      <c r="F37" s="22"/>
      <c r="G37" s="22"/>
      <c r="H37" s="15"/>
      <c r="I37" s="15"/>
      <c r="J37" s="15"/>
      <c r="K37" s="15"/>
      <c r="L37" s="15"/>
      <c r="M37" s="23"/>
      <c r="N37" s="17"/>
      <c r="O37" s="17"/>
      <c r="P37" s="17">
        <f t="shared" si="2"/>
        <v>0</v>
      </c>
      <c r="R37" s="24"/>
    </row>
    <row r="38" ht="15.75" spans="1:27">
      <c r="A38" s="15">
        <v>29</v>
      </c>
      <c r="B38" s="25"/>
      <c r="C38" s="15"/>
      <c r="D38" s="15"/>
      <c r="E38" s="15"/>
      <c r="F38" s="22"/>
      <c r="G38" s="22"/>
      <c r="H38" s="15"/>
      <c r="I38" s="15"/>
      <c r="J38" s="15"/>
      <c r="K38" s="15"/>
      <c r="L38" s="15"/>
      <c r="M38" s="23"/>
      <c r="N38" s="17"/>
      <c r="O38" s="17"/>
      <c r="P38" s="17">
        <f t="shared" si="2"/>
        <v>0</v>
      </c>
      <c r="R38" s="24"/>
    </row>
    <row r="39" spans="1:27">
      <c r="A39" s="15">
        <v>30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7">
        <f t="shared" si="2"/>
        <v>0</v>
      </c>
      <c r="Q39" s="2"/>
      <c r="R39" s="2"/>
      <c r="X39" s="27"/>
      <c r="AA39" s="27"/>
    </row>
    <row r="40" spans="1:27">
      <c r="A40" s="15">
        <v>31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7">
        <f t="shared" si="2"/>
        <v>0</v>
      </c>
      <c r="Q40" s="2"/>
      <c r="R40" s="2"/>
    </row>
    <row r="41" spans="1:27">
      <c r="A41" s="15">
        <v>32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3"/>
      <c r="O41" s="28"/>
      <c r="P41" s="17">
        <f t="shared" si="2"/>
        <v>0</v>
      </c>
      <c r="Q41" s="2"/>
      <c r="R41" s="2"/>
    </row>
    <row r="42" spans="1:27">
      <c r="A42" s="15">
        <v>33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3"/>
      <c r="O42" s="28"/>
      <c r="P42" s="17">
        <f t="shared" si="2"/>
        <v>0</v>
      </c>
      <c r="Q42" s="2"/>
      <c r="R42" s="2"/>
    </row>
    <row r="43" spans="1:27">
      <c r="A43" s="15">
        <v>34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3"/>
      <c r="O43" s="28"/>
      <c r="P43" s="17">
        <f t="shared" si="2"/>
        <v>0</v>
      </c>
      <c r="Q43" s="2"/>
      <c r="R43" s="2"/>
    </row>
    <row r="44" spans="1:27">
      <c r="A44" s="15">
        <v>35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3"/>
      <c r="O44" s="28"/>
      <c r="P44" s="17">
        <f t="shared" si="2"/>
        <v>0</v>
      </c>
      <c r="Q44" s="2"/>
      <c r="R44" s="2"/>
    </row>
    <row r="45" spans="1:2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2"/>
      <c r="P45" s="2"/>
      <c r="Q45" s="2"/>
      <c r="R45" s="2"/>
    </row>
    <row r="47" spans="1:27">
      <c r="N47" s="3" t="s">
        <v>51</v>
      </c>
    </row>
    <row r="48" spans="1:27">
      <c r="N48" s="3" t="s">
        <v>52</v>
      </c>
    </row>
    <row r="49" spans="14:14">
      <c r="N49" s="3"/>
    </row>
    <row r="50" spans="14:14">
      <c r="N50" s="3"/>
    </row>
    <row r="51" spans="14:14">
      <c r="N51" s="3" t="s">
        <v>53</v>
      </c>
    </row>
  </sheetData>
  <mergeCells count="7">
    <mergeCell ref="A1:P1"/>
    <mergeCell ref="A2:P2"/>
    <mergeCell ref="C8:G8"/>
    <mergeCell ref="H8:L8"/>
    <mergeCell ref="N8:O8"/>
    <mergeCell ref="A8:A9"/>
    <mergeCell ref="B8:B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2022-12-13T01:59:00Z</dcterms:created>
  <dcterms:modified xsi:type="dcterms:W3CDTF">2026-10-20T08:53:36Z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AAF8926F26384C98AA1C7583004BA54F_13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