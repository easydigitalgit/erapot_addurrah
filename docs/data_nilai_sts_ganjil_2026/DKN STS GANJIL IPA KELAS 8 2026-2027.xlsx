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lisasi\Downloads\"/>
    </mc:Choice>
  </mc:AlternateContent>
  <xr:revisionPtr revIDLastSave="0" documentId="13_ncr:1_{6921A893-5EBF-48FE-B7EA-FE9AAE7A6AC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KYANITE" sheetId="9" r:id="rId1"/>
    <sheet name="INTAN" sheetId="10" r:id="rId2"/>
    <sheet name="SAFIR" sheetId="11" r:id="rId3"/>
    <sheet name="GRANIT" sheetId="12" r:id="rId4"/>
    <sheet name="TOPAZ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0" i="13" l="1"/>
  <c r="H40" i="13"/>
  <c r="I39" i="13"/>
  <c r="H39" i="13"/>
  <c r="I38" i="13"/>
  <c r="H38" i="13"/>
  <c r="I37" i="13"/>
  <c r="H37" i="13"/>
  <c r="J37" i="13" s="1"/>
  <c r="I36" i="13"/>
  <c r="H36" i="13"/>
  <c r="J36" i="13" s="1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J20" i="13" s="1"/>
  <c r="I19" i="13"/>
  <c r="H19" i="13"/>
  <c r="I18" i="13"/>
  <c r="H18" i="13"/>
  <c r="J18" i="13" s="1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41" i="12"/>
  <c r="H41" i="12"/>
  <c r="I40" i="12"/>
  <c r="H40" i="12"/>
  <c r="I39" i="12"/>
  <c r="H39" i="12"/>
  <c r="I38" i="12"/>
  <c r="H38" i="12"/>
  <c r="I37" i="12"/>
  <c r="H37" i="12"/>
  <c r="J37" i="12" s="1"/>
  <c r="I36" i="12"/>
  <c r="H36" i="12"/>
  <c r="J36" i="12" s="1"/>
  <c r="I35" i="12"/>
  <c r="H35" i="12"/>
  <c r="J35" i="12" s="1"/>
  <c r="I34" i="12"/>
  <c r="H34" i="12"/>
  <c r="I33" i="12"/>
  <c r="H33" i="12"/>
  <c r="I32" i="12"/>
  <c r="H32" i="12"/>
  <c r="J32" i="12" s="1"/>
  <c r="I31" i="12"/>
  <c r="H31" i="12"/>
  <c r="I30" i="12"/>
  <c r="H30" i="12"/>
  <c r="J30" i="12" s="1"/>
  <c r="I29" i="12"/>
  <c r="H29" i="12"/>
  <c r="I28" i="12"/>
  <c r="H28" i="12"/>
  <c r="I27" i="12"/>
  <c r="H27" i="12"/>
  <c r="I26" i="12"/>
  <c r="H26" i="12"/>
  <c r="J26" i="12" s="1"/>
  <c r="I25" i="12"/>
  <c r="H25" i="12"/>
  <c r="J25" i="12" s="1"/>
  <c r="I24" i="12"/>
  <c r="H24" i="12"/>
  <c r="I23" i="12"/>
  <c r="H23" i="12"/>
  <c r="I22" i="12"/>
  <c r="H22" i="12"/>
  <c r="I21" i="12"/>
  <c r="H21" i="12"/>
  <c r="I20" i="12"/>
  <c r="H20" i="12"/>
  <c r="J20" i="12" s="1"/>
  <c r="I19" i="12"/>
  <c r="H19" i="12"/>
  <c r="J19" i="12" s="1"/>
  <c r="I18" i="12"/>
  <c r="H18" i="12"/>
  <c r="J18" i="12" s="1"/>
  <c r="I17" i="12"/>
  <c r="H17" i="12"/>
  <c r="I16" i="12"/>
  <c r="H16" i="12"/>
  <c r="I15" i="12"/>
  <c r="H15" i="12"/>
  <c r="J15" i="12" s="1"/>
  <c r="I14" i="12"/>
  <c r="H14" i="12"/>
  <c r="J14" i="12" s="1"/>
  <c r="I13" i="12"/>
  <c r="H13" i="12"/>
  <c r="I12" i="12"/>
  <c r="H12" i="12"/>
  <c r="J12" i="12" s="1"/>
  <c r="I11" i="12"/>
  <c r="H11" i="12"/>
  <c r="I10" i="12"/>
  <c r="H10" i="12"/>
  <c r="I15" i="11"/>
  <c r="H15" i="11"/>
  <c r="J15" i="11" s="1"/>
  <c r="I31" i="11"/>
  <c r="H31" i="11"/>
  <c r="I30" i="11"/>
  <c r="H30" i="11"/>
  <c r="I29" i="11"/>
  <c r="H29" i="11"/>
  <c r="I28" i="11"/>
  <c r="H28" i="11"/>
  <c r="I27" i="11"/>
  <c r="H27" i="11"/>
  <c r="I26" i="11"/>
  <c r="H26" i="11"/>
  <c r="J26" i="11" s="1"/>
  <c r="I25" i="11"/>
  <c r="H25" i="11"/>
  <c r="I24" i="11"/>
  <c r="H24" i="11"/>
  <c r="I23" i="11"/>
  <c r="H23" i="11"/>
  <c r="J23" i="11" s="1"/>
  <c r="I22" i="11"/>
  <c r="H22" i="11"/>
  <c r="I21" i="11"/>
  <c r="H21" i="11"/>
  <c r="I20" i="11"/>
  <c r="H20" i="11"/>
  <c r="I19" i="11"/>
  <c r="H19" i="11"/>
  <c r="I18" i="11"/>
  <c r="H18" i="11"/>
  <c r="I17" i="11"/>
  <c r="H17" i="11"/>
  <c r="J17" i="11" s="1"/>
  <c r="I16" i="11"/>
  <c r="H16" i="11"/>
  <c r="I14" i="11"/>
  <c r="H14" i="11"/>
  <c r="I13" i="11"/>
  <c r="H13" i="11"/>
  <c r="I12" i="11"/>
  <c r="H12" i="11"/>
  <c r="I11" i="11"/>
  <c r="H11" i="11"/>
  <c r="I10" i="11"/>
  <c r="H10" i="11"/>
  <c r="J10" i="11" s="1"/>
  <c r="I31" i="10"/>
  <c r="H31" i="10"/>
  <c r="I30" i="10"/>
  <c r="H30" i="10"/>
  <c r="J30" i="10" s="1"/>
  <c r="I29" i="10"/>
  <c r="H29" i="10"/>
  <c r="J29" i="10" s="1"/>
  <c r="I28" i="10"/>
  <c r="H28" i="10"/>
  <c r="I27" i="10"/>
  <c r="H27" i="10"/>
  <c r="J27" i="10" s="1"/>
  <c r="I26" i="10"/>
  <c r="H26" i="10"/>
  <c r="I25" i="10"/>
  <c r="H25" i="10"/>
  <c r="J25" i="10" s="1"/>
  <c r="I24" i="10"/>
  <c r="H24" i="10"/>
  <c r="I23" i="10"/>
  <c r="H23" i="10"/>
  <c r="I22" i="10"/>
  <c r="H22" i="10"/>
  <c r="J22" i="10" s="1"/>
  <c r="I21" i="10"/>
  <c r="H21" i="10"/>
  <c r="I20" i="10"/>
  <c r="H20" i="10"/>
  <c r="J20" i="10" s="1"/>
  <c r="I19" i="10"/>
  <c r="H19" i="10"/>
  <c r="I18" i="10"/>
  <c r="H18" i="10"/>
  <c r="J18" i="10" s="1"/>
  <c r="I17" i="10"/>
  <c r="H17" i="10"/>
  <c r="I16" i="10"/>
  <c r="H16" i="10"/>
  <c r="J16" i="10" s="1"/>
  <c r="I15" i="10"/>
  <c r="H15" i="10"/>
  <c r="I14" i="10"/>
  <c r="H14" i="10"/>
  <c r="J14" i="10" s="1"/>
  <c r="I13" i="10"/>
  <c r="H13" i="10"/>
  <c r="J13" i="10" s="1"/>
  <c r="I12" i="10"/>
  <c r="H12" i="10"/>
  <c r="J12" i="10" s="1"/>
  <c r="I11" i="10"/>
  <c r="H11" i="10"/>
  <c r="J11" i="10" s="1"/>
  <c r="I10" i="10"/>
  <c r="H10" i="10"/>
  <c r="H11" i="9"/>
  <c r="I11" i="9"/>
  <c r="H12" i="9"/>
  <c r="I12" i="9"/>
  <c r="H14" i="9"/>
  <c r="I14" i="9"/>
  <c r="H16" i="9"/>
  <c r="I16" i="9"/>
  <c r="H17" i="9"/>
  <c r="I17" i="9"/>
  <c r="H18" i="9"/>
  <c r="I18" i="9"/>
  <c r="H19" i="9"/>
  <c r="I19" i="9"/>
  <c r="H20" i="9"/>
  <c r="I20" i="9"/>
  <c r="H21" i="9"/>
  <c r="I21" i="9"/>
  <c r="H22" i="9"/>
  <c r="I22" i="9"/>
  <c r="H23" i="9"/>
  <c r="I23" i="9"/>
  <c r="H24" i="9"/>
  <c r="I24" i="9"/>
  <c r="H25" i="9"/>
  <c r="I25" i="9"/>
  <c r="H26" i="9"/>
  <c r="I26" i="9"/>
  <c r="H27" i="9"/>
  <c r="I27" i="9"/>
  <c r="H28" i="9"/>
  <c r="I28" i="9"/>
  <c r="H29" i="9"/>
  <c r="I29" i="9"/>
  <c r="H30" i="9"/>
  <c r="I30" i="9"/>
  <c r="H31" i="9"/>
  <c r="I31" i="9"/>
  <c r="H15" i="9"/>
  <c r="I15" i="9"/>
  <c r="H13" i="9"/>
  <c r="I13" i="9"/>
  <c r="I10" i="9"/>
  <c r="H10" i="9"/>
  <c r="J35" i="13" l="1"/>
  <c r="J30" i="13"/>
  <c r="J25" i="13"/>
  <c r="J19" i="13"/>
  <c r="J12" i="13"/>
  <c r="J24" i="13"/>
  <c r="J31" i="13"/>
  <c r="J15" i="13"/>
  <c r="J21" i="13"/>
  <c r="J32" i="13"/>
  <c r="J38" i="13"/>
  <c r="J10" i="13"/>
  <c r="J16" i="13"/>
  <c r="J22" i="13"/>
  <c r="J27" i="13"/>
  <c r="J33" i="13"/>
  <c r="J39" i="13"/>
  <c r="J17" i="13"/>
  <c r="J23" i="13"/>
  <c r="J34" i="13"/>
  <c r="J40" i="13"/>
  <c r="J40" i="12"/>
  <c r="J39" i="12"/>
  <c r="J34" i="12"/>
  <c r="J33" i="12"/>
  <c r="J31" i="12"/>
  <c r="J29" i="12"/>
  <c r="J24" i="12"/>
  <c r="J23" i="12"/>
  <c r="J21" i="12"/>
  <c r="J17" i="12"/>
  <c r="J16" i="12"/>
  <c r="J13" i="12"/>
  <c r="J10" i="12"/>
  <c r="J38" i="12"/>
  <c r="J41" i="12"/>
  <c r="J22" i="12"/>
  <c r="J28" i="12"/>
  <c r="J31" i="10"/>
  <c r="J26" i="10"/>
  <c r="J24" i="10"/>
  <c r="J21" i="10"/>
  <c r="J19" i="10"/>
  <c r="J17" i="10"/>
  <c r="J15" i="10"/>
  <c r="J10" i="10"/>
  <c r="J23" i="10"/>
  <c r="J31" i="11"/>
  <c r="J30" i="11"/>
  <c r="J28" i="11"/>
  <c r="J25" i="11"/>
  <c r="J24" i="11"/>
  <c r="J22" i="11"/>
  <c r="J20" i="11"/>
  <c r="J18" i="11"/>
  <c r="J16" i="11"/>
  <c r="J11" i="11"/>
  <c r="J12" i="11"/>
  <c r="J13" i="11"/>
  <c r="J19" i="11"/>
  <c r="J29" i="11"/>
  <c r="J25" i="9"/>
  <c r="J11" i="9"/>
  <c r="J31" i="9"/>
  <c r="J19" i="9"/>
  <c r="J16" i="9"/>
  <c r="J12" i="9"/>
  <c r="J28" i="9"/>
  <c r="J30" i="9"/>
  <c r="J18" i="9"/>
  <c r="J14" i="9"/>
  <c r="J22" i="9"/>
  <c r="J27" i="9"/>
  <c r="J29" i="9"/>
  <c r="J17" i="9"/>
  <c r="J26" i="9"/>
  <c r="J10" i="9"/>
  <c r="J11" i="13"/>
  <c r="J26" i="13"/>
  <c r="J13" i="13"/>
  <c r="J28" i="13"/>
  <c r="J14" i="13"/>
  <c r="J29" i="13"/>
  <c r="J11" i="12"/>
  <c r="J27" i="12"/>
  <c r="J14" i="11"/>
  <c r="J21" i="11"/>
  <c r="J27" i="11"/>
  <c r="J28" i="10"/>
  <c r="J13" i="9"/>
  <c r="J15" i="9"/>
  <c r="J24" i="9"/>
  <c r="J23" i="9"/>
  <c r="J21" i="9"/>
  <c r="J20" i="9"/>
</calcChain>
</file>

<file path=xl/sharedStrings.xml><?xml version="1.0" encoding="utf-8"?>
<sst xmlns="http://schemas.openxmlformats.org/spreadsheetml/2006/main" count="290" uniqueCount="165">
  <si>
    <t xml:space="preserve">KELAS </t>
  </si>
  <si>
    <t>MATA PELAJARAN</t>
  </si>
  <si>
    <t>NO</t>
  </si>
  <si>
    <t xml:space="preserve">NAMA </t>
  </si>
  <si>
    <t>LM 1</t>
  </si>
  <si>
    <t>LM 2</t>
  </si>
  <si>
    <t>LM2</t>
  </si>
  <si>
    <t>SUMATIF</t>
  </si>
  <si>
    <t>NR</t>
  </si>
  <si>
    <t>LM = Lingkup Materi ( KD )</t>
  </si>
  <si>
    <t>Pembagi Rata2 Disesuaikan dengan bayaknya LM</t>
  </si>
  <si>
    <t>Guru Bidang Study</t>
  </si>
  <si>
    <t xml:space="preserve">SMP SWASTA  IT AD DURRAH </t>
  </si>
  <si>
    <t>SEMESTER</t>
  </si>
  <si>
    <t>NB :</t>
  </si>
  <si>
    <t>NH = Nilai Harian</t>
  </si>
  <si>
    <t>DAFTAR KOLEKTIF NILAI KURIKULUM MERDEKA</t>
  </si>
  <si>
    <t>UH = Ulangan Harian</t>
  </si>
  <si>
    <t>US = Ujian Sekolah</t>
  </si>
  <si>
    <t xml:space="preserve">NR = Nilai Raport </t>
  </si>
  <si>
    <t>STS</t>
  </si>
  <si>
    <t>RATA-RATA</t>
  </si>
  <si>
    <t>FORMATIF / NH</t>
  </si>
  <si>
    <t>FORMATIF / UH</t>
  </si>
  <si>
    <t>NH</t>
  </si>
  <si>
    <t>UH</t>
  </si>
  <si>
    <t>: KYANITE</t>
  </si>
  <si>
    <t>: IPA</t>
  </si>
  <si>
    <t>: GANJIL</t>
  </si>
  <si>
    <t>: GRANIT</t>
  </si>
  <si>
    <t>: SAFIR</t>
  </si>
  <si>
    <t>: INTAN</t>
  </si>
  <si>
    <t>Medan,     Oktober 2026</t>
  </si>
  <si>
    <t>_Suri Khairunnisa, S.Si________________________</t>
  </si>
  <si>
    <t>: TOPAZ</t>
  </si>
  <si>
    <t>AFIKA HARUMI</t>
  </si>
  <si>
    <t>AFIQAH AZZAHRA</t>
  </si>
  <si>
    <t>ALLYSHA PUTRI WIJAYA</t>
  </si>
  <si>
    <t>ASYIFA NAURAH FEIRUS</t>
  </si>
  <si>
    <t>AZZAHWA ILMI AL-FASA</t>
  </si>
  <si>
    <t>DELIMA ANNISA SIREGAR</t>
  </si>
  <si>
    <t>FATIHA PUTRI NASUTION</t>
  </si>
  <si>
    <t>FILZAH HANA BASHEERA</t>
  </si>
  <si>
    <t>KANZA LATISHA</t>
  </si>
  <si>
    <t>KEYSHA ALMEERA MAULANA</t>
  </si>
  <si>
    <t>KHAYLA AZKA RINANTI</t>
  </si>
  <si>
    <t>RAFIZAH NAILA PUTRI</t>
  </si>
  <si>
    <t>RUMAISHA HUURUN NAASHIRAH DAMANIK</t>
  </si>
  <si>
    <t>SAFANA AL HUMAIRA</t>
  </si>
  <si>
    <t>SITI AISAH</t>
  </si>
  <si>
    <t>SUCI ZAIRANI</t>
  </si>
  <si>
    <t>THALIA JEHAN NADITA</t>
  </si>
  <si>
    <t>VIVI AULIA TANJUNG</t>
  </si>
  <si>
    <t>WAN NAYLA AFIFA</t>
  </si>
  <si>
    <t>YUMNA TALITHA</t>
  </si>
  <si>
    <t>AYLA SHAUFA AZZAHRO</t>
  </si>
  <si>
    <t>AQILA SAHARA</t>
  </si>
  <si>
    <t>AFIFAH DHIA FADILLAH</t>
  </si>
  <si>
    <t>ALIFIA AJWA</t>
  </si>
  <si>
    <t>AURELIA MUTIARA RAMDANI</t>
  </si>
  <si>
    <t>AZIZAH ZAHRA SIREGAR</t>
  </si>
  <si>
    <t>AZURA FAIRUUZ BARDANI</t>
  </si>
  <si>
    <t>FATHINAH KINARA</t>
  </si>
  <si>
    <t>INAYA AZMI ATHIFA</t>
  </si>
  <si>
    <t>KEIKO MUTIARA ZAHRA</t>
  </si>
  <si>
    <t>KHANZA AYA DIYYA</t>
  </si>
  <si>
    <t>KHEYSA RASHIFA</t>
  </si>
  <si>
    <t>NAISYAH SALSABILA NUSI</t>
  </si>
  <si>
    <t>NAURA ZAKIYA SAKHI</t>
  </si>
  <si>
    <t>ORIN FARAH DINA</t>
  </si>
  <si>
    <t>QANITA AQILAH AL FARIZSIH</t>
  </si>
  <si>
    <t>RIZKA ALYA PUTRI</t>
  </si>
  <si>
    <t>SALSABIL SHAFA</t>
  </si>
  <si>
    <t>SHABRINA HALWA</t>
  </si>
  <si>
    <t>SITI NAFISAH RAY</t>
  </si>
  <si>
    <t>SUCI RAMADHANI</t>
  </si>
  <si>
    <t>SUHANA AICA ACSYAH HSB</t>
  </si>
  <si>
    <t>SYAQILLA AULIANI</t>
  </si>
  <si>
    <t>SYARFINA ANINDYA PUTRI</t>
  </si>
  <si>
    <t>AISYAH RABIUL AWALIYAH</t>
  </si>
  <si>
    <t>ALYA JAZILA ARANI</t>
  </si>
  <si>
    <t>AMELIA FENETA ZULHAM</t>
  </si>
  <si>
    <t>AQILA AZ ZAHWA</t>
  </si>
  <si>
    <t>ASYAVIRA KARTIKA</t>
  </si>
  <si>
    <t>ATIQA MAGHFIRAH</t>
  </si>
  <si>
    <t>AZQA AQILLA MUMTAZ</t>
  </si>
  <si>
    <t>EARLYTA ARSYFA</t>
  </si>
  <si>
    <t>FARADILLA RAMADANI</t>
  </si>
  <si>
    <t>INAYA ATHIFA</t>
  </si>
  <si>
    <t>JAHIRA HUMAIROH MANURUNG</t>
  </si>
  <si>
    <t>KHANSA FAIRUZ ZHAFIRAH S</t>
  </si>
  <si>
    <t>KHEYLA RASHIFA</t>
  </si>
  <si>
    <t>MYSHA ZAHIRA SACHI</t>
  </si>
  <si>
    <t>NUR ALFIYAH HAWA</t>
  </si>
  <si>
    <t>RHALYNSA RIZKI</t>
  </si>
  <si>
    <t>SALSABIL AZZAHRA LUBIS</t>
  </si>
  <si>
    <t>SALSABILA BILQIS PASARIBU</t>
  </si>
  <si>
    <t>SALWA TSABITA</t>
  </si>
  <si>
    <t>SYIFA NAURA AFAF</t>
  </si>
  <si>
    <t>AQILAH KHANZA RAMADHANI</t>
  </si>
  <si>
    <t>AHMAD OKA AL FATIH</t>
  </si>
  <si>
    <t>AKIL ZAYDAN RAHMANA</t>
  </si>
  <si>
    <t>ISBAH FAJAR HAFIZ</t>
  </si>
  <si>
    <t>RIVALDO ZEIN MASIHOR</t>
  </si>
  <si>
    <t>ADABI LIMANSYAH SAGALA</t>
  </si>
  <si>
    <t>AHMAD YUSRI HABIBI</t>
  </si>
  <si>
    <t>ALBIZRA WALI SUHERI</t>
  </si>
  <si>
    <t>ANDRIAN SAPUTRA</t>
  </si>
  <si>
    <t>ARSY ALFARIZI</t>
  </si>
  <si>
    <t>ARZIKI ALI AZKA</t>
  </si>
  <si>
    <t>ATHALLAH AL SYUTHAN N</t>
  </si>
  <si>
    <t>CHIKO AMANDA DIKA</t>
  </si>
  <si>
    <t>DIMAS ALVINO</t>
  </si>
  <si>
    <t>FADHIL RAJABI</t>
  </si>
  <si>
    <t>FAEYZA MOUZA QHALISH</t>
  </si>
  <si>
    <t>FAIZ PINTARA ALHAFIZ</t>
  </si>
  <si>
    <t>FATHIR AL GHIFARY LESMANA</t>
  </si>
  <si>
    <t>GHAISAN AGHA GAUTAMA</t>
  </si>
  <si>
    <t>JAYA HARTOYO FAHRIAN</t>
  </si>
  <si>
    <t>M HABIBSYAH SYUKUR</t>
  </si>
  <si>
    <t xml:space="preserve">M RIFFAT SYAH INDRA </t>
  </si>
  <si>
    <t>MHD DAYAN SANI ADMAJA</t>
  </si>
  <si>
    <t>MHD JUSTICIO PRADIPTO</t>
  </si>
  <si>
    <t>MUHAMMAD AFKAR AYUB</t>
  </si>
  <si>
    <t>MUHAMMAD ALIF YUSUF ILHAM</t>
  </si>
  <si>
    <t>MUHAMMAD HAFIZ FADLI</t>
  </si>
  <si>
    <t>MUHAMMAD RAHMAN</t>
  </si>
  <si>
    <t>MUHAMMAD RAIHAN RASYIDDIN</t>
  </si>
  <si>
    <t>RADITYA NAUFAL PUTRA</t>
  </si>
  <si>
    <t>RAFFA NURZI SHAULA</t>
  </si>
  <si>
    <t>RAHMAD ARJUNA SIREGAR</t>
  </si>
  <si>
    <t>SULTHAN AUFAR AL FIKRI NASUTION</t>
  </si>
  <si>
    <t>WILDAN TAMEEM BAHRI</t>
  </si>
  <si>
    <t>ILHAM HAFIZ</t>
  </si>
  <si>
    <t>MUHAMMAD HABIB SYARIF MAULANA</t>
  </si>
  <si>
    <t>s</t>
  </si>
  <si>
    <t>ALIFA NUR ZAHIRAH</t>
  </si>
  <si>
    <t xml:space="preserve">Abid Zuhair </t>
  </si>
  <si>
    <t>Ahya Maulidan</t>
  </si>
  <si>
    <t>arga reyhan bahari</t>
  </si>
  <si>
    <t>Arkaan faiz</t>
  </si>
  <si>
    <t xml:space="preserve">aryan ihtisyam adha </t>
  </si>
  <si>
    <t xml:space="preserve">Aufar alfarizi </t>
  </si>
  <si>
    <t>Bariq hijri akbar</t>
  </si>
  <si>
    <t>Daffi azmi</t>
  </si>
  <si>
    <t xml:space="preserve">elkan absana tanjung </t>
  </si>
  <si>
    <t>fahrian haikal ginting</t>
  </si>
  <si>
    <t>Fathin Asy-Syauqi</t>
  </si>
  <si>
    <t>Fatih Elkarim</t>
  </si>
  <si>
    <t>Khadaffi anwar</t>
  </si>
  <si>
    <t xml:space="preserve">M.Rafa Alkhalish </t>
  </si>
  <si>
    <t xml:space="preserve">MUHAMMAD AKBAR WIJAYA </t>
  </si>
  <si>
    <t xml:space="preserve">MUHAMMAD AZZAM LATHIF </t>
  </si>
  <si>
    <t>Muhammad daffa yusnan</t>
  </si>
  <si>
    <t xml:space="preserve">Muhammad imam ashari </t>
  </si>
  <si>
    <t>MUHAMMAD RABBANI ATTHORIQ</t>
  </si>
  <si>
    <t xml:space="preserve">Muhammad radhin al-fattah </t>
  </si>
  <si>
    <t>Muhammad Riyaadh</t>
  </si>
  <si>
    <t xml:space="preserve">Muhammad Rizqi Faiq ananda </t>
  </si>
  <si>
    <t>Naufal Zidan Gunawan</t>
  </si>
  <si>
    <t>Ozil arrizky busra</t>
  </si>
  <si>
    <t>Ridho Hamdan</t>
  </si>
  <si>
    <t>Rizky anra alfaeyza</t>
  </si>
  <si>
    <t>Taher sulo</t>
  </si>
  <si>
    <t>Zoevano danendra zavieri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</si>
</sst>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/ 60&quot;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1" fontId="4" fillId="0" borderId="0" xfId="0" applyNumberFormat="1" applyFont="1"/>
    <xf numFmtId="1" fontId="4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1" xfId="0" applyBorder="1"/>
    <xf numFmtId="0" fontId="4" fillId="3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0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11" fillId="0" borderId="1" xfId="0" applyFont="1" applyBorder="1"/>
    <xf numFmtId="164" fontId="0" fillId="0" borderId="0" xfId="0" applyNumberFormat="1"/>
    <xf numFmtId="0" fontId="12" fillId="9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1D79AC1F-84D7-4D60-AD4A-CC49CBEEF579}"/>
    <cellStyle name="Normal 3" xfId="2" xr:uid="{EECA482B-95FE-400C-AD25-99217767CCA3}"/>
  </cellStyles>
  <dxfs count="0"/>
  <tableStyles count="0" defaultTableStyle="TableStyleMedium2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9A72-FAE7-4736-9064-8ECBF2E2B5C9}">
  <dimension ref="A1:L40"/>
  <sheetViews>
    <sheetView topLeftCell="A9" zoomScaleNormal="100" workbookViewId="0">
      <selection activeCell="C10" sqref="C10:G31"/>
    </sheetView>
  </sheetViews>
  <sheetFormatPr defaultRowHeight="14.4" x14ac:dyDescent="0.3"/>
  <cols>
    <col min="2" max="2" width="47.6640625" bestFit="1" customWidth="1"/>
    <col min="7" max="7" width="14" customWidth="1"/>
    <col min="8" max="8" width="10.77734375" customWidth="1"/>
    <col min="9" max="9" width="12.88671875" customWidth="1"/>
    <col min="10" max="10" width="38.33203125" customWidth="1"/>
    <col min="17" max="17" width="11.5546875" customWidth="1"/>
    <col min="19" max="19" width="28.33203125" customWidth="1"/>
  </cols>
  <sheetData>
    <row r="1" spans="1:12" ht="17.399999999999999" x14ac:dyDescent="0.3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3"/>
      <c r="L1" s="3"/>
    </row>
    <row r="2" spans="1:12" ht="17.399999999999999" x14ac:dyDescent="0.3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2" t="s">
        <v>0</v>
      </c>
      <c r="B4" s="3"/>
      <c r="C4" s="2" t="s">
        <v>26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2" t="s">
        <v>13</v>
      </c>
      <c r="B6" s="3"/>
      <c r="C6" s="2" t="s">
        <v>28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45" customHeight="1" x14ac:dyDescent="0.3">
      <c r="A8" s="28" t="s">
        <v>2</v>
      </c>
      <c r="B8" s="29" t="s">
        <v>3</v>
      </c>
      <c r="C8" s="30" t="s">
        <v>22</v>
      </c>
      <c r="D8" s="30"/>
      <c r="E8" s="31" t="s">
        <v>23</v>
      </c>
      <c r="F8" s="31"/>
      <c r="G8" s="19" t="s">
        <v>7</v>
      </c>
      <c r="H8" s="26" t="s">
        <v>21</v>
      </c>
      <c r="I8" s="27"/>
      <c r="J8" s="14" t="s">
        <v>8</v>
      </c>
      <c r="L8" s="1" t="s">
        <v>14</v>
      </c>
    </row>
    <row r="9" spans="1:12" ht="14.55" customHeight="1" x14ac:dyDescent="0.3">
      <c r="A9" s="28"/>
      <c r="B9" s="29"/>
      <c r="C9" s="11" t="s">
        <v>4</v>
      </c>
      <c r="D9" s="11" t="s">
        <v>5</v>
      </c>
      <c r="E9" s="12" t="s">
        <v>4</v>
      </c>
      <c r="F9" s="12" t="s">
        <v>6</v>
      </c>
      <c r="G9" s="19" t="s">
        <v>20</v>
      </c>
      <c r="H9" s="13" t="s">
        <v>24</v>
      </c>
      <c r="I9" s="13" t="s">
        <v>25</v>
      </c>
      <c r="J9" s="15"/>
      <c r="L9" s="2" t="s">
        <v>9</v>
      </c>
    </row>
    <row r="10" spans="1:12" ht="15.6" x14ac:dyDescent="0.3">
      <c r="A10" s="5">
        <v>1</v>
      </c>
      <c r="B10" s="20" t="s">
        <v>35</v>
      </c>
      <c r="C10" s="7">
        <v>90</v>
      </c>
      <c r="D10" s="5">
        <v>90</v>
      </c>
      <c r="E10" s="5">
        <v>95</v>
      </c>
      <c r="F10" s="7">
        <v>95</v>
      </c>
      <c r="G10" s="18">
        <v>78</v>
      </c>
      <c r="H10" s="16">
        <f>AVERAGE(C10:D10)</f>
        <v>90</v>
      </c>
      <c r="I10" s="16">
        <f>AVERAGE(E10:F10)</f>
        <v>95</v>
      </c>
      <c r="J10" s="7">
        <f>(G10*30/100)+(H10*35/100)+(I10*35/100)</f>
        <v>88.15</v>
      </c>
      <c r="L10" s="2" t="s">
        <v>15</v>
      </c>
    </row>
    <row r="11" spans="1:12" ht="15.6" x14ac:dyDescent="0.3">
      <c r="A11" s="5">
        <v>2</v>
      </c>
      <c r="B11" s="20" t="s">
        <v>36</v>
      </c>
      <c r="C11" s="7">
        <v>90</v>
      </c>
      <c r="D11" s="7">
        <v>95</v>
      </c>
      <c r="E11" s="7">
        <v>94</v>
      </c>
      <c r="F11" s="7">
        <v>90</v>
      </c>
      <c r="G11" s="9">
        <v>74</v>
      </c>
      <c r="H11" s="16">
        <f t="shared" ref="H11:H31" si="0">AVERAGE(C11:D11)</f>
        <v>92.5</v>
      </c>
      <c r="I11" s="16">
        <f t="shared" ref="I11:I31" si="1">AVERAGE(E11:F11)</f>
        <v>92</v>
      </c>
      <c r="J11" s="7">
        <f t="shared" ref="J11:J31" si="2">(G11*30/100)+(H11*35/100)+(I11*35/100)</f>
        <v>86.775000000000006</v>
      </c>
      <c r="L11" s="2" t="s">
        <v>17</v>
      </c>
    </row>
    <row r="12" spans="1:12" ht="15.6" x14ac:dyDescent="0.3">
      <c r="A12" s="5">
        <v>3</v>
      </c>
      <c r="B12" s="20" t="s">
        <v>37</v>
      </c>
      <c r="C12" s="7">
        <v>100</v>
      </c>
      <c r="D12" s="5">
        <v>90</v>
      </c>
      <c r="E12" s="5">
        <v>90</v>
      </c>
      <c r="F12" s="7">
        <v>100</v>
      </c>
      <c r="G12" s="9">
        <v>92</v>
      </c>
      <c r="H12" s="16">
        <f t="shared" si="0"/>
        <v>95</v>
      </c>
      <c r="I12" s="16">
        <f t="shared" si="1"/>
        <v>95</v>
      </c>
      <c r="J12" s="7">
        <f t="shared" si="2"/>
        <v>94.1</v>
      </c>
      <c r="L12" s="2" t="s">
        <v>18</v>
      </c>
    </row>
    <row r="13" spans="1:12" ht="15.6" x14ac:dyDescent="0.3">
      <c r="A13" s="5">
        <v>4</v>
      </c>
      <c r="B13" s="20" t="s">
        <v>56</v>
      </c>
      <c r="C13" s="5">
        <v>100</v>
      </c>
      <c r="D13" s="5">
        <v>93</v>
      </c>
      <c r="E13" s="5">
        <v>96</v>
      </c>
      <c r="F13" s="5">
        <v>90</v>
      </c>
      <c r="G13" s="9">
        <v>88</v>
      </c>
      <c r="H13" s="16">
        <f>AVERAGE(C13:D13)</f>
        <v>96.5</v>
      </c>
      <c r="I13" s="16">
        <f>AVERAGE(E13:F13)</f>
        <v>93</v>
      </c>
      <c r="J13" s="7">
        <f>(G13*30/100)+(H13*35/100)+(I13*35/100)</f>
        <v>92.724999999999994</v>
      </c>
      <c r="L13" s="6"/>
    </row>
    <row r="14" spans="1:12" ht="15.6" x14ac:dyDescent="0.3">
      <c r="A14" s="5">
        <v>5</v>
      </c>
      <c r="B14" s="20" t="s">
        <v>38</v>
      </c>
      <c r="C14" s="5">
        <v>90</v>
      </c>
      <c r="D14" s="5">
        <v>100</v>
      </c>
      <c r="E14" s="5">
        <v>93</v>
      </c>
      <c r="F14" s="5">
        <v>98</v>
      </c>
      <c r="G14" s="9">
        <v>84</v>
      </c>
      <c r="H14" s="16">
        <f t="shared" si="0"/>
        <v>95</v>
      </c>
      <c r="I14" s="16">
        <f t="shared" si="1"/>
        <v>95.5</v>
      </c>
      <c r="J14" s="7">
        <f t="shared" si="2"/>
        <v>91.875</v>
      </c>
      <c r="L14" s="2" t="s">
        <v>19</v>
      </c>
    </row>
    <row r="15" spans="1:12" ht="15.6" x14ac:dyDescent="0.3">
      <c r="A15" s="5">
        <v>6</v>
      </c>
      <c r="B15" s="20" t="s">
        <v>55</v>
      </c>
      <c r="C15" s="7">
        <v>90</v>
      </c>
      <c r="D15" s="7">
        <v>90</v>
      </c>
      <c r="E15" s="7">
        <v>95</v>
      </c>
      <c r="F15" s="7">
        <v>85</v>
      </c>
      <c r="G15" s="9">
        <v>68</v>
      </c>
      <c r="H15" s="16">
        <f>AVERAGE(C15:D15)</f>
        <v>90</v>
      </c>
      <c r="I15" s="16">
        <f>AVERAGE(E15:F15)</f>
        <v>90</v>
      </c>
      <c r="J15" s="7">
        <f>(G15*30/100)+(H15*35/100)+(I15*35/100)</f>
        <v>83.4</v>
      </c>
      <c r="L15" s="6"/>
    </row>
    <row r="16" spans="1:12" ht="15.6" x14ac:dyDescent="0.3">
      <c r="A16" s="5">
        <v>7</v>
      </c>
      <c r="B16" s="20" t="s">
        <v>39</v>
      </c>
      <c r="C16" s="7">
        <v>100</v>
      </c>
      <c r="D16" s="7">
        <v>95</v>
      </c>
      <c r="E16" s="7">
        <v>92</v>
      </c>
      <c r="F16" s="7">
        <v>95</v>
      </c>
      <c r="G16" s="9">
        <v>84</v>
      </c>
      <c r="H16" s="16">
        <f t="shared" si="0"/>
        <v>97.5</v>
      </c>
      <c r="I16" s="16">
        <f t="shared" si="1"/>
        <v>93.5</v>
      </c>
      <c r="J16" s="7">
        <f t="shared" si="2"/>
        <v>92.050000000000011</v>
      </c>
      <c r="L16" s="2" t="s">
        <v>10</v>
      </c>
    </row>
    <row r="17" spans="1:12" ht="15.6" x14ac:dyDescent="0.3">
      <c r="A17" s="5">
        <v>8</v>
      </c>
      <c r="B17" s="20" t="s">
        <v>40</v>
      </c>
      <c r="C17" s="5">
        <v>90</v>
      </c>
      <c r="D17" s="5">
        <v>100</v>
      </c>
      <c r="E17" s="5">
        <v>90</v>
      </c>
      <c r="F17" s="5">
        <v>100</v>
      </c>
      <c r="G17" s="9">
        <v>76</v>
      </c>
      <c r="H17" s="16">
        <f t="shared" si="0"/>
        <v>95</v>
      </c>
      <c r="I17" s="16">
        <f t="shared" si="1"/>
        <v>95</v>
      </c>
      <c r="J17" s="7">
        <f t="shared" si="2"/>
        <v>89.3</v>
      </c>
      <c r="L17" s="6"/>
    </row>
    <row r="18" spans="1:12" ht="15.6" x14ac:dyDescent="0.3">
      <c r="A18" s="5">
        <v>9</v>
      </c>
      <c r="B18" s="20" t="s">
        <v>41</v>
      </c>
      <c r="C18" s="5">
        <v>90</v>
      </c>
      <c r="D18" s="5">
        <v>95</v>
      </c>
      <c r="E18" s="5">
        <v>96</v>
      </c>
      <c r="F18" s="5">
        <v>89</v>
      </c>
      <c r="G18" s="9">
        <v>75</v>
      </c>
      <c r="H18" s="16">
        <f t="shared" si="0"/>
        <v>92.5</v>
      </c>
      <c r="I18" s="16">
        <f t="shared" si="1"/>
        <v>92.5</v>
      </c>
      <c r="J18" s="7">
        <f t="shared" si="2"/>
        <v>87.25</v>
      </c>
      <c r="L18" s="6"/>
    </row>
    <row r="19" spans="1:12" ht="15.6" x14ac:dyDescent="0.3">
      <c r="A19" s="5">
        <v>10</v>
      </c>
      <c r="B19" s="20" t="s">
        <v>42</v>
      </c>
      <c r="C19" s="7">
        <v>100</v>
      </c>
      <c r="D19" s="7">
        <v>100</v>
      </c>
      <c r="E19" s="7">
        <v>90</v>
      </c>
      <c r="F19" s="7">
        <v>90</v>
      </c>
      <c r="G19" s="9">
        <v>80</v>
      </c>
      <c r="H19" s="16">
        <f t="shared" si="0"/>
        <v>100</v>
      </c>
      <c r="I19" s="16">
        <f t="shared" si="1"/>
        <v>90</v>
      </c>
      <c r="J19" s="7">
        <f t="shared" si="2"/>
        <v>90.5</v>
      </c>
      <c r="L19" s="6"/>
    </row>
    <row r="20" spans="1:12" ht="15.6" x14ac:dyDescent="0.3">
      <c r="A20" s="5">
        <v>11</v>
      </c>
      <c r="B20" s="20" t="s">
        <v>43</v>
      </c>
      <c r="C20" s="7">
        <v>89</v>
      </c>
      <c r="D20" s="7">
        <v>89</v>
      </c>
      <c r="E20" s="7">
        <v>100</v>
      </c>
      <c r="F20" s="7">
        <v>88</v>
      </c>
      <c r="G20" s="9">
        <v>87</v>
      </c>
      <c r="H20" s="16">
        <f t="shared" si="0"/>
        <v>89</v>
      </c>
      <c r="I20" s="16">
        <f t="shared" si="1"/>
        <v>94</v>
      </c>
      <c r="J20" s="7">
        <f t="shared" si="2"/>
        <v>90.15</v>
      </c>
      <c r="L20" s="6"/>
    </row>
    <row r="21" spans="1:12" ht="15.6" x14ac:dyDescent="0.3">
      <c r="A21" s="5">
        <v>12</v>
      </c>
      <c r="B21" s="20" t="s">
        <v>44</v>
      </c>
      <c r="C21" s="5">
        <v>90</v>
      </c>
      <c r="D21" s="5">
        <v>90</v>
      </c>
      <c r="E21" s="5">
        <v>92</v>
      </c>
      <c r="F21" s="5">
        <v>98</v>
      </c>
      <c r="G21" s="9">
        <v>84</v>
      </c>
      <c r="H21" s="16">
        <f t="shared" si="0"/>
        <v>90</v>
      </c>
      <c r="I21" s="16">
        <f t="shared" si="1"/>
        <v>95</v>
      </c>
      <c r="J21" s="7">
        <f t="shared" si="2"/>
        <v>89.95</v>
      </c>
      <c r="L21" s="6"/>
    </row>
    <row r="22" spans="1:12" ht="15.6" x14ac:dyDescent="0.3">
      <c r="A22" s="5">
        <v>13</v>
      </c>
      <c r="B22" s="20" t="s">
        <v>45</v>
      </c>
      <c r="C22" s="5">
        <v>90</v>
      </c>
      <c r="D22" s="5">
        <v>90</v>
      </c>
      <c r="E22" s="5">
        <v>85</v>
      </c>
      <c r="F22" s="5">
        <v>94</v>
      </c>
      <c r="G22" s="9">
        <v>80</v>
      </c>
      <c r="H22" s="16">
        <f t="shared" si="0"/>
        <v>90</v>
      </c>
      <c r="I22" s="16">
        <f t="shared" si="1"/>
        <v>89.5</v>
      </c>
      <c r="J22" s="7">
        <f t="shared" si="2"/>
        <v>86.825000000000003</v>
      </c>
      <c r="L22" s="6"/>
    </row>
    <row r="23" spans="1:12" ht="15.6" x14ac:dyDescent="0.3">
      <c r="A23" s="5">
        <v>14</v>
      </c>
      <c r="B23" s="20" t="s">
        <v>46</v>
      </c>
      <c r="C23" s="5">
        <v>96</v>
      </c>
      <c r="D23" s="5">
        <v>100</v>
      </c>
      <c r="E23" s="5">
        <v>100</v>
      </c>
      <c r="F23" s="5">
        <v>100</v>
      </c>
      <c r="G23" s="9">
        <v>57</v>
      </c>
      <c r="H23" s="16">
        <f t="shared" si="0"/>
        <v>98</v>
      </c>
      <c r="I23" s="16">
        <f t="shared" si="1"/>
        <v>100</v>
      </c>
      <c r="J23" s="7">
        <f t="shared" si="2"/>
        <v>86.4</v>
      </c>
      <c r="L23" s="6"/>
    </row>
    <row r="24" spans="1:12" ht="15.6" x14ac:dyDescent="0.3">
      <c r="A24" s="5">
        <v>15</v>
      </c>
      <c r="B24" s="20" t="s">
        <v>47</v>
      </c>
      <c r="C24" s="7">
        <v>99</v>
      </c>
      <c r="D24" s="7">
        <v>90</v>
      </c>
      <c r="E24" s="7">
        <v>90</v>
      </c>
      <c r="F24" s="7">
        <v>90</v>
      </c>
      <c r="G24" s="9">
        <v>88</v>
      </c>
      <c r="H24" s="16">
        <f t="shared" si="0"/>
        <v>94.5</v>
      </c>
      <c r="I24" s="16">
        <f t="shared" si="1"/>
        <v>90</v>
      </c>
      <c r="J24" s="7">
        <f t="shared" si="2"/>
        <v>90.974999999999994</v>
      </c>
      <c r="L24" s="6"/>
    </row>
    <row r="25" spans="1:12" ht="15.6" x14ac:dyDescent="0.3">
      <c r="A25" s="5">
        <v>16</v>
      </c>
      <c r="B25" s="20" t="s">
        <v>48</v>
      </c>
      <c r="C25" s="5">
        <v>100</v>
      </c>
      <c r="D25" s="5">
        <v>97</v>
      </c>
      <c r="E25" s="5">
        <v>92</v>
      </c>
      <c r="F25" s="5">
        <v>95</v>
      </c>
      <c r="G25" s="9">
        <v>80</v>
      </c>
      <c r="H25" s="16">
        <f t="shared" si="0"/>
        <v>98.5</v>
      </c>
      <c r="I25" s="16">
        <f t="shared" si="1"/>
        <v>93.5</v>
      </c>
      <c r="J25" s="7">
        <f t="shared" si="2"/>
        <v>91.2</v>
      </c>
      <c r="L25" s="6"/>
    </row>
    <row r="26" spans="1:12" ht="15.6" x14ac:dyDescent="0.3">
      <c r="A26" s="5">
        <v>17</v>
      </c>
      <c r="B26" s="20" t="s">
        <v>49</v>
      </c>
      <c r="C26" s="5">
        <v>100</v>
      </c>
      <c r="D26" s="5">
        <v>100</v>
      </c>
      <c r="E26" s="5">
        <v>100</v>
      </c>
      <c r="F26" s="5">
        <v>100</v>
      </c>
      <c r="G26" s="9">
        <v>46</v>
      </c>
      <c r="H26" s="16">
        <f t="shared" si="0"/>
        <v>100</v>
      </c>
      <c r="I26" s="16">
        <f t="shared" si="1"/>
        <v>100</v>
      </c>
      <c r="J26" s="7">
        <f t="shared" si="2"/>
        <v>83.8</v>
      </c>
      <c r="L26" s="6"/>
    </row>
    <row r="27" spans="1:12" ht="15.6" x14ac:dyDescent="0.3">
      <c r="A27" s="5">
        <v>18</v>
      </c>
      <c r="B27" s="20" t="s">
        <v>50</v>
      </c>
      <c r="C27" s="5">
        <v>90</v>
      </c>
      <c r="D27" s="5">
        <v>100</v>
      </c>
      <c r="E27" s="5">
        <v>89</v>
      </c>
      <c r="F27" s="5">
        <v>87</v>
      </c>
      <c r="G27" s="9">
        <v>86</v>
      </c>
      <c r="H27" s="16">
        <f t="shared" si="0"/>
        <v>95</v>
      </c>
      <c r="I27" s="16">
        <f t="shared" si="1"/>
        <v>88</v>
      </c>
      <c r="J27" s="7">
        <f t="shared" si="2"/>
        <v>89.85</v>
      </c>
      <c r="L27" s="6"/>
    </row>
    <row r="28" spans="1:12" ht="15.6" x14ac:dyDescent="0.3">
      <c r="A28" s="5">
        <v>19</v>
      </c>
      <c r="B28" s="20" t="s">
        <v>51</v>
      </c>
      <c r="C28" s="5">
        <v>100</v>
      </c>
      <c r="D28" s="5">
        <v>100</v>
      </c>
      <c r="E28" s="5">
        <v>100</v>
      </c>
      <c r="F28" s="5">
        <v>100</v>
      </c>
      <c r="G28" s="9">
        <v>40</v>
      </c>
      <c r="H28" s="16">
        <f t="shared" si="0"/>
        <v>100</v>
      </c>
      <c r="I28" s="16">
        <f t="shared" si="1"/>
        <v>100</v>
      </c>
      <c r="J28" s="7">
        <f t="shared" si="2"/>
        <v>82</v>
      </c>
      <c r="L28" s="6"/>
    </row>
    <row r="29" spans="1:12" ht="15.6" x14ac:dyDescent="0.3">
      <c r="A29" s="5">
        <v>20</v>
      </c>
      <c r="B29" s="20" t="s">
        <v>52</v>
      </c>
      <c r="C29" s="5">
        <v>100</v>
      </c>
      <c r="D29" s="5">
        <v>100</v>
      </c>
      <c r="E29" s="5">
        <v>98</v>
      </c>
      <c r="F29" s="5">
        <v>100</v>
      </c>
      <c r="G29" s="9">
        <v>50</v>
      </c>
      <c r="H29" s="16">
        <f t="shared" si="0"/>
        <v>100</v>
      </c>
      <c r="I29" s="16">
        <f t="shared" si="1"/>
        <v>99</v>
      </c>
      <c r="J29" s="7">
        <f t="shared" si="2"/>
        <v>84.65</v>
      </c>
      <c r="L29" s="6"/>
    </row>
    <row r="30" spans="1:12" ht="15.6" x14ac:dyDescent="0.3">
      <c r="A30" s="5">
        <v>21</v>
      </c>
      <c r="B30" s="20" t="s">
        <v>53</v>
      </c>
      <c r="C30" s="5">
        <v>100</v>
      </c>
      <c r="D30" s="5">
        <v>100</v>
      </c>
      <c r="E30" s="5">
        <v>98</v>
      </c>
      <c r="F30" s="5">
        <v>100</v>
      </c>
      <c r="G30" s="9">
        <v>43</v>
      </c>
      <c r="H30" s="16">
        <f t="shared" si="0"/>
        <v>100</v>
      </c>
      <c r="I30" s="16">
        <f t="shared" si="1"/>
        <v>99</v>
      </c>
      <c r="J30" s="7">
        <f t="shared" si="2"/>
        <v>82.55</v>
      </c>
      <c r="L30" s="6"/>
    </row>
    <row r="31" spans="1:12" ht="15.6" x14ac:dyDescent="0.3">
      <c r="A31" s="5">
        <v>22</v>
      </c>
      <c r="B31" s="20" t="s">
        <v>54</v>
      </c>
      <c r="C31" s="5">
        <v>100</v>
      </c>
      <c r="D31" s="5">
        <v>96</v>
      </c>
      <c r="E31" s="5">
        <v>98</v>
      </c>
      <c r="F31" s="5">
        <v>97</v>
      </c>
      <c r="G31" s="9">
        <v>48</v>
      </c>
      <c r="H31" s="16">
        <f t="shared" si="0"/>
        <v>98</v>
      </c>
      <c r="I31" s="16">
        <f t="shared" si="1"/>
        <v>97.5</v>
      </c>
      <c r="J31" s="7">
        <f t="shared" si="2"/>
        <v>82.824999999999989</v>
      </c>
      <c r="L31" s="6"/>
    </row>
    <row r="34" spans="1:12" x14ac:dyDescent="0.3">
      <c r="A34" s="3"/>
      <c r="B34" s="3"/>
      <c r="C34" s="3"/>
      <c r="D34" s="3"/>
      <c r="E34" s="3"/>
      <c r="F34" s="3"/>
      <c r="G34" s="3"/>
      <c r="I34" s="3"/>
      <c r="J34" s="3"/>
      <c r="K34" s="3"/>
      <c r="L34" s="3"/>
    </row>
    <row r="36" spans="1:12" x14ac:dyDescent="0.3">
      <c r="H36" s="2" t="s">
        <v>32</v>
      </c>
    </row>
    <row r="37" spans="1:12" x14ac:dyDescent="0.3">
      <c r="H37" s="2" t="s">
        <v>11</v>
      </c>
    </row>
    <row r="38" spans="1:12" x14ac:dyDescent="0.3">
      <c r="H38" s="2"/>
    </row>
    <row r="39" spans="1:12" x14ac:dyDescent="0.3">
      <c r="H39" s="2"/>
    </row>
    <row r="40" spans="1:12" x14ac:dyDescent="0.3">
      <c r="H40" s="2" t="s">
        <v>33</v>
      </c>
    </row>
  </sheetData>
  <mergeCells count="7">
    <mergeCell ref="A1:J1"/>
    <mergeCell ref="A2:J2"/>
    <mergeCell ref="H8:I8"/>
    <mergeCell ref="A8:A9"/>
    <mergeCell ref="B8:B9"/>
    <mergeCell ref="C8:D8"/>
    <mergeCell ref="E8:F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093F-82E3-4162-B698-E2CD183F0A9F}">
  <dimension ref="A1:L38"/>
  <sheetViews>
    <sheetView topLeftCell="A8" zoomScale="90" zoomScaleNormal="90" workbookViewId="0">
      <selection activeCell="C10" sqref="C10:F31"/>
    </sheetView>
  </sheetViews>
  <sheetFormatPr defaultRowHeight="14.4" x14ac:dyDescent="0.3"/>
  <cols>
    <col min="2" max="2" width="40.21875" customWidth="1"/>
    <col min="7" max="7" width="14" customWidth="1"/>
    <col min="8" max="8" width="10.77734375" customWidth="1"/>
    <col min="9" max="9" width="12.88671875" customWidth="1"/>
    <col min="10" max="10" width="38.33203125" customWidth="1"/>
    <col min="17" max="17" width="11.5546875" customWidth="1"/>
    <col min="19" max="19" width="28.33203125" customWidth="1"/>
  </cols>
  <sheetData>
    <row r="1" spans="1:12" ht="17.399999999999999" x14ac:dyDescent="0.3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3"/>
      <c r="L1" s="3"/>
    </row>
    <row r="2" spans="1:12" ht="17.399999999999999" x14ac:dyDescent="0.3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2" t="s">
        <v>0</v>
      </c>
      <c r="B4" s="3"/>
      <c r="C4" s="2" t="s">
        <v>31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2" t="s">
        <v>13</v>
      </c>
      <c r="B6" s="3"/>
      <c r="C6" s="2" t="s">
        <v>28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45" customHeight="1" x14ac:dyDescent="0.3">
      <c r="A8" s="28" t="s">
        <v>2</v>
      </c>
      <c r="B8" s="29" t="s">
        <v>3</v>
      </c>
      <c r="C8" s="30" t="s">
        <v>22</v>
      </c>
      <c r="D8" s="30"/>
      <c r="E8" s="31" t="s">
        <v>23</v>
      </c>
      <c r="F8" s="31"/>
      <c r="G8" s="19" t="s">
        <v>7</v>
      </c>
      <c r="H8" s="26" t="s">
        <v>21</v>
      </c>
      <c r="I8" s="27"/>
      <c r="J8" s="14" t="s">
        <v>8</v>
      </c>
      <c r="L8" s="1" t="s">
        <v>14</v>
      </c>
    </row>
    <row r="9" spans="1:12" ht="14.55" customHeight="1" x14ac:dyDescent="0.3">
      <c r="A9" s="28"/>
      <c r="B9" s="29"/>
      <c r="C9" s="11" t="s">
        <v>4</v>
      </c>
      <c r="D9" s="11" t="s">
        <v>5</v>
      </c>
      <c r="E9" s="12" t="s">
        <v>4</v>
      </c>
      <c r="F9" s="12" t="s">
        <v>6</v>
      </c>
      <c r="G9" s="19" t="s">
        <v>20</v>
      </c>
      <c r="H9" s="13" t="s">
        <v>24</v>
      </c>
      <c r="I9" s="13" t="s">
        <v>25</v>
      </c>
      <c r="J9" s="15"/>
      <c r="L9" s="2" t="s">
        <v>9</v>
      </c>
    </row>
    <row r="10" spans="1:12" ht="15.6" x14ac:dyDescent="0.3">
      <c r="A10" s="5">
        <v>1</v>
      </c>
      <c r="B10" s="20" t="s">
        <v>57</v>
      </c>
      <c r="C10" s="7">
        <v>96</v>
      </c>
      <c r="D10" s="5">
        <v>98</v>
      </c>
      <c r="E10" s="7">
        <v>95</v>
      </c>
      <c r="F10" s="5">
        <v>98</v>
      </c>
      <c r="G10" s="18">
        <v>51</v>
      </c>
      <c r="H10" s="16">
        <f>AVERAGE(C10:D10)</f>
        <v>97</v>
      </c>
      <c r="I10" s="16">
        <f>AVERAGE(E10:F10)</f>
        <v>96.5</v>
      </c>
      <c r="J10" s="7">
        <f>(G10*30/100)+(H10*35/100)+(I10*35/100)</f>
        <v>83.025000000000006</v>
      </c>
      <c r="L10" s="2" t="s">
        <v>15</v>
      </c>
    </row>
    <row r="11" spans="1:12" ht="15.6" x14ac:dyDescent="0.3">
      <c r="A11" s="5">
        <v>2</v>
      </c>
      <c r="B11" s="20" t="s">
        <v>58</v>
      </c>
      <c r="C11" s="7">
        <v>89</v>
      </c>
      <c r="D11" s="7">
        <v>95</v>
      </c>
      <c r="E11" s="7">
        <v>91</v>
      </c>
      <c r="F11" s="7">
        <v>94</v>
      </c>
      <c r="G11" s="9">
        <v>88</v>
      </c>
      <c r="H11" s="16">
        <f t="shared" ref="H11:H31" si="0">AVERAGE(C11:D11)</f>
        <v>92</v>
      </c>
      <c r="I11" s="16">
        <f t="shared" ref="I11:I31" si="1">AVERAGE(E11:F11)</f>
        <v>92.5</v>
      </c>
      <c r="J11" s="7">
        <f t="shared" ref="J11:J31" si="2">(G11*30/100)+(H11*35/100)+(I11*35/100)</f>
        <v>90.974999999999994</v>
      </c>
      <c r="L11" s="2" t="s">
        <v>17</v>
      </c>
    </row>
    <row r="12" spans="1:12" ht="15.6" x14ac:dyDescent="0.3">
      <c r="A12" s="5">
        <v>3</v>
      </c>
      <c r="B12" s="20" t="s">
        <v>59</v>
      </c>
      <c r="C12" s="7">
        <v>100</v>
      </c>
      <c r="D12" s="5">
        <v>98</v>
      </c>
      <c r="E12" s="7">
        <v>97</v>
      </c>
      <c r="F12" s="5">
        <v>98</v>
      </c>
      <c r="G12" s="9">
        <v>62</v>
      </c>
      <c r="H12" s="16">
        <f t="shared" si="0"/>
        <v>99</v>
      </c>
      <c r="I12" s="16">
        <f t="shared" si="1"/>
        <v>97.5</v>
      </c>
      <c r="J12" s="7">
        <f t="shared" si="2"/>
        <v>87.375</v>
      </c>
      <c r="L12" s="2" t="s">
        <v>18</v>
      </c>
    </row>
    <row r="13" spans="1:12" ht="15.6" x14ac:dyDescent="0.3">
      <c r="A13" s="5">
        <v>4</v>
      </c>
      <c r="B13" s="20" t="s">
        <v>60</v>
      </c>
      <c r="C13" s="7">
        <v>93</v>
      </c>
      <c r="D13" s="5">
        <v>94</v>
      </c>
      <c r="E13" s="7">
        <v>97</v>
      </c>
      <c r="F13" s="5">
        <v>100</v>
      </c>
      <c r="G13" s="9">
        <v>75</v>
      </c>
      <c r="H13" s="16">
        <f t="shared" si="0"/>
        <v>93.5</v>
      </c>
      <c r="I13" s="16">
        <f t="shared" si="1"/>
        <v>98.5</v>
      </c>
      <c r="J13" s="7">
        <f t="shared" si="2"/>
        <v>89.7</v>
      </c>
      <c r="L13" s="2" t="s">
        <v>19</v>
      </c>
    </row>
    <row r="14" spans="1:12" ht="15.6" x14ac:dyDescent="0.3">
      <c r="A14" s="5">
        <v>5</v>
      </c>
      <c r="B14" s="20" t="s">
        <v>61</v>
      </c>
      <c r="C14" s="7">
        <v>97</v>
      </c>
      <c r="D14" s="7">
        <v>90</v>
      </c>
      <c r="E14" s="7">
        <v>95</v>
      </c>
      <c r="F14" s="7">
        <v>93</v>
      </c>
      <c r="G14" s="9">
        <v>60</v>
      </c>
      <c r="H14" s="16">
        <f t="shared" si="0"/>
        <v>93.5</v>
      </c>
      <c r="I14" s="16">
        <f t="shared" si="1"/>
        <v>94</v>
      </c>
      <c r="J14" s="7">
        <f t="shared" si="2"/>
        <v>83.625</v>
      </c>
      <c r="L14" s="2" t="s">
        <v>10</v>
      </c>
    </row>
    <row r="15" spans="1:12" ht="15.6" x14ac:dyDescent="0.3">
      <c r="A15" s="5">
        <v>6</v>
      </c>
      <c r="B15" s="20" t="s">
        <v>62</v>
      </c>
      <c r="C15" s="7">
        <v>90</v>
      </c>
      <c r="D15" s="7">
        <v>94</v>
      </c>
      <c r="E15" s="7">
        <v>96</v>
      </c>
      <c r="F15" s="7">
        <v>97</v>
      </c>
      <c r="G15" s="9">
        <v>74</v>
      </c>
      <c r="H15" s="16">
        <f t="shared" si="0"/>
        <v>92</v>
      </c>
      <c r="I15" s="16">
        <f t="shared" si="1"/>
        <v>96.5</v>
      </c>
      <c r="J15" s="7">
        <f t="shared" si="2"/>
        <v>88.175000000000011</v>
      </c>
      <c r="L15" s="6"/>
    </row>
    <row r="16" spans="1:12" ht="15.6" x14ac:dyDescent="0.3">
      <c r="A16" s="5">
        <v>7</v>
      </c>
      <c r="B16" s="20" t="s">
        <v>63</v>
      </c>
      <c r="C16" s="7">
        <v>95</v>
      </c>
      <c r="D16" s="7">
        <v>90</v>
      </c>
      <c r="E16" s="7">
        <v>97</v>
      </c>
      <c r="F16" s="7">
        <v>92</v>
      </c>
      <c r="G16" s="9">
        <v>91</v>
      </c>
      <c r="H16" s="16">
        <f t="shared" si="0"/>
        <v>92.5</v>
      </c>
      <c r="I16" s="16">
        <f t="shared" si="1"/>
        <v>94.5</v>
      </c>
      <c r="J16" s="7">
        <f t="shared" si="2"/>
        <v>92.75</v>
      </c>
      <c r="L16" s="6"/>
    </row>
    <row r="17" spans="1:12" ht="15.6" x14ac:dyDescent="0.3">
      <c r="A17" s="5">
        <v>8</v>
      </c>
      <c r="B17" s="20" t="s">
        <v>64</v>
      </c>
      <c r="C17" s="7">
        <v>98</v>
      </c>
      <c r="D17" s="7">
        <v>97</v>
      </c>
      <c r="E17" s="7">
        <v>93</v>
      </c>
      <c r="F17" s="7">
        <v>95</v>
      </c>
      <c r="G17" s="9">
        <v>92</v>
      </c>
      <c r="H17" s="16">
        <f t="shared" si="0"/>
        <v>97.5</v>
      </c>
      <c r="I17" s="16">
        <f t="shared" si="1"/>
        <v>94</v>
      </c>
      <c r="J17" s="7">
        <f t="shared" si="2"/>
        <v>94.625</v>
      </c>
      <c r="L17" s="6"/>
    </row>
    <row r="18" spans="1:12" ht="15.6" x14ac:dyDescent="0.3">
      <c r="A18" s="5">
        <v>9</v>
      </c>
      <c r="B18" s="20" t="s">
        <v>65</v>
      </c>
      <c r="C18" s="7">
        <v>89</v>
      </c>
      <c r="D18" s="7">
        <v>94</v>
      </c>
      <c r="E18" s="7">
        <v>96</v>
      </c>
      <c r="F18" s="7">
        <v>90</v>
      </c>
      <c r="G18" s="9">
        <v>80</v>
      </c>
      <c r="H18" s="16">
        <f t="shared" si="0"/>
        <v>91.5</v>
      </c>
      <c r="I18" s="16">
        <f t="shared" si="1"/>
        <v>93</v>
      </c>
      <c r="J18" s="7">
        <f t="shared" si="2"/>
        <v>88.574999999999989</v>
      </c>
      <c r="L18" s="6"/>
    </row>
    <row r="19" spans="1:12" ht="15.6" x14ac:dyDescent="0.3">
      <c r="A19" s="5">
        <v>10</v>
      </c>
      <c r="B19" s="20" t="s">
        <v>66</v>
      </c>
      <c r="C19" s="7">
        <v>96</v>
      </c>
      <c r="D19" s="7">
        <v>97</v>
      </c>
      <c r="E19" s="7">
        <v>95</v>
      </c>
      <c r="F19" s="7">
        <v>95</v>
      </c>
      <c r="G19" s="9">
        <v>90</v>
      </c>
      <c r="H19" s="16">
        <f t="shared" si="0"/>
        <v>96.5</v>
      </c>
      <c r="I19" s="16">
        <f t="shared" si="1"/>
        <v>95</v>
      </c>
      <c r="J19" s="7">
        <f t="shared" si="2"/>
        <v>94.025000000000006</v>
      </c>
      <c r="L19" s="6"/>
    </row>
    <row r="20" spans="1:12" ht="15.6" x14ac:dyDescent="0.3">
      <c r="A20" s="5">
        <v>11</v>
      </c>
      <c r="B20" s="20" t="s">
        <v>67</v>
      </c>
      <c r="C20" s="7">
        <v>90</v>
      </c>
      <c r="D20" s="7">
        <v>100</v>
      </c>
      <c r="E20" s="7">
        <v>97</v>
      </c>
      <c r="F20" s="7">
        <v>100</v>
      </c>
      <c r="G20" s="9">
        <v>92</v>
      </c>
      <c r="H20" s="16">
        <f t="shared" si="0"/>
        <v>95</v>
      </c>
      <c r="I20" s="16">
        <f t="shared" si="1"/>
        <v>98.5</v>
      </c>
      <c r="J20" s="7">
        <f t="shared" si="2"/>
        <v>95.325000000000003</v>
      </c>
      <c r="L20" s="6"/>
    </row>
    <row r="21" spans="1:12" ht="15.6" x14ac:dyDescent="0.3">
      <c r="A21" s="5">
        <v>12</v>
      </c>
      <c r="B21" s="20" t="s">
        <v>68</v>
      </c>
      <c r="C21" s="7">
        <v>98</v>
      </c>
      <c r="D21" s="7">
        <v>97</v>
      </c>
      <c r="E21" s="7">
        <v>95</v>
      </c>
      <c r="F21" s="7">
        <v>93</v>
      </c>
      <c r="G21" s="9">
        <v>83</v>
      </c>
      <c r="H21" s="16">
        <f t="shared" si="0"/>
        <v>97.5</v>
      </c>
      <c r="I21" s="16">
        <f t="shared" si="1"/>
        <v>94</v>
      </c>
      <c r="J21" s="7">
        <f t="shared" si="2"/>
        <v>91.924999999999997</v>
      </c>
      <c r="L21" s="6"/>
    </row>
    <row r="22" spans="1:12" ht="15.6" x14ac:dyDescent="0.3">
      <c r="A22" s="5">
        <v>13</v>
      </c>
      <c r="B22" s="20" t="s">
        <v>69</v>
      </c>
      <c r="C22" s="7">
        <v>97</v>
      </c>
      <c r="D22" s="7">
        <v>95</v>
      </c>
      <c r="E22" s="7">
        <v>90</v>
      </c>
      <c r="F22" s="7">
        <v>94</v>
      </c>
      <c r="G22" s="9">
        <v>77</v>
      </c>
      <c r="H22" s="16">
        <f t="shared" si="0"/>
        <v>96</v>
      </c>
      <c r="I22" s="16">
        <f t="shared" si="1"/>
        <v>92</v>
      </c>
      <c r="J22" s="7">
        <f t="shared" si="2"/>
        <v>88.9</v>
      </c>
      <c r="L22" s="6"/>
    </row>
    <row r="23" spans="1:12" ht="15.6" x14ac:dyDescent="0.3">
      <c r="A23" s="5">
        <v>14</v>
      </c>
      <c r="B23" s="20" t="s">
        <v>70</v>
      </c>
      <c r="C23" s="7">
        <v>90</v>
      </c>
      <c r="D23" s="5">
        <v>98</v>
      </c>
      <c r="E23" s="7">
        <v>90</v>
      </c>
      <c r="F23" s="5">
        <v>98</v>
      </c>
      <c r="G23" s="9">
        <v>94</v>
      </c>
      <c r="H23" s="16">
        <f t="shared" si="0"/>
        <v>94</v>
      </c>
      <c r="I23" s="16">
        <f t="shared" si="1"/>
        <v>94</v>
      </c>
      <c r="J23" s="7">
        <f t="shared" si="2"/>
        <v>94</v>
      </c>
      <c r="L23" s="6"/>
    </row>
    <row r="24" spans="1:12" ht="15.6" x14ac:dyDescent="0.3">
      <c r="A24" s="5">
        <v>15</v>
      </c>
      <c r="B24" s="20" t="s">
        <v>71</v>
      </c>
      <c r="C24" s="7">
        <v>100</v>
      </c>
      <c r="D24" s="7">
        <v>100</v>
      </c>
      <c r="E24" s="7">
        <v>99</v>
      </c>
      <c r="F24" s="7">
        <v>100</v>
      </c>
      <c r="G24" s="9">
        <v>61</v>
      </c>
      <c r="H24" s="16">
        <f t="shared" si="0"/>
        <v>100</v>
      </c>
      <c r="I24" s="16">
        <f t="shared" si="1"/>
        <v>99.5</v>
      </c>
      <c r="J24" s="7">
        <f t="shared" si="2"/>
        <v>88.125</v>
      </c>
      <c r="L24" s="6"/>
    </row>
    <row r="25" spans="1:12" ht="15.6" x14ac:dyDescent="0.3">
      <c r="A25" s="5">
        <v>16</v>
      </c>
      <c r="B25" s="20" t="s">
        <v>72</v>
      </c>
      <c r="C25" s="7">
        <v>89</v>
      </c>
      <c r="D25" s="5">
        <v>98</v>
      </c>
      <c r="E25" s="7">
        <v>90</v>
      </c>
      <c r="F25" s="5">
        <v>98</v>
      </c>
      <c r="G25" s="9">
        <v>72</v>
      </c>
      <c r="H25" s="16">
        <f t="shared" si="0"/>
        <v>93.5</v>
      </c>
      <c r="I25" s="16">
        <f t="shared" si="1"/>
        <v>94</v>
      </c>
      <c r="J25" s="7">
        <f t="shared" si="2"/>
        <v>87.224999999999994</v>
      </c>
      <c r="L25" s="6"/>
    </row>
    <row r="26" spans="1:12" ht="15.6" x14ac:dyDescent="0.3">
      <c r="A26" s="5">
        <v>17</v>
      </c>
      <c r="B26" s="20" t="s">
        <v>73</v>
      </c>
      <c r="C26" s="7">
        <v>98</v>
      </c>
      <c r="D26" s="5">
        <v>100</v>
      </c>
      <c r="E26" s="7">
        <v>100</v>
      </c>
      <c r="F26" s="5">
        <v>100</v>
      </c>
      <c r="G26" s="9">
        <v>37</v>
      </c>
      <c r="H26" s="16">
        <f t="shared" si="0"/>
        <v>99</v>
      </c>
      <c r="I26" s="16">
        <f t="shared" si="1"/>
        <v>100</v>
      </c>
      <c r="J26" s="7">
        <f t="shared" si="2"/>
        <v>80.75</v>
      </c>
      <c r="L26" s="6"/>
    </row>
    <row r="27" spans="1:12" ht="15.6" x14ac:dyDescent="0.3">
      <c r="A27" s="5">
        <v>18</v>
      </c>
      <c r="B27" s="20" t="s">
        <v>74</v>
      </c>
      <c r="C27" s="7">
        <v>95</v>
      </c>
      <c r="D27" s="7">
        <v>98</v>
      </c>
      <c r="E27" s="7">
        <v>97</v>
      </c>
      <c r="F27" s="7">
        <v>90</v>
      </c>
      <c r="G27" s="9">
        <v>46</v>
      </c>
      <c r="H27" s="16">
        <f t="shared" si="0"/>
        <v>96.5</v>
      </c>
      <c r="I27" s="16">
        <f t="shared" si="1"/>
        <v>93.5</v>
      </c>
      <c r="J27" s="7">
        <f t="shared" si="2"/>
        <v>80.300000000000011</v>
      </c>
      <c r="L27" s="6"/>
    </row>
    <row r="28" spans="1:12" ht="15.6" x14ac:dyDescent="0.3">
      <c r="A28" s="5">
        <v>19</v>
      </c>
      <c r="B28" s="20" t="s">
        <v>75</v>
      </c>
      <c r="C28" s="5">
        <v>98</v>
      </c>
      <c r="D28" s="7">
        <v>100</v>
      </c>
      <c r="E28" s="5">
        <v>98</v>
      </c>
      <c r="F28" s="7">
        <v>100</v>
      </c>
      <c r="G28" s="9">
        <v>31</v>
      </c>
      <c r="H28" s="16">
        <f t="shared" si="0"/>
        <v>99</v>
      </c>
      <c r="I28" s="16">
        <f t="shared" si="1"/>
        <v>99</v>
      </c>
      <c r="J28" s="7">
        <f t="shared" si="2"/>
        <v>78.599999999999994</v>
      </c>
      <c r="L28" s="6"/>
    </row>
    <row r="29" spans="1:12" ht="15.6" x14ac:dyDescent="0.3">
      <c r="A29" s="5">
        <v>20</v>
      </c>
      <c r="B29" s="20" t="s">
        <v>76</v>
      </c>
      <c r="C29" s="5">
        <v>97</v>
      </c>
      <c r="D29" s="7">
        <v>98</v>
      </c>
      <c r="E29" s="5">
        <v>100</v>
      </c>
      <c r="F29" s="7">
        <v>97</v>
      </c>
      <c r="G29" s="9">
        <v>38</v>
      </c>
      <c r="H29" s="16">
        <f t="shared" si="0"/>
        <v>97.5</v>
      </c>
      <c r="I29" s="16">
        <f t="shared" si="1"/>
        <v>98.5</v>
      </c>
      <c r="J29" s="7">
        <f t="shared" si="2"/>
        <v>80</v>
      </c>
      <c r="L29" s="6"/>
    </row>
    <row r="30" spans="1:12" ht="15.6" x14ac:dyDescent="0.3">
      <c r="A30" s="5">
        <v>21</v>
      </c>
      <c r="B30" s="20" t="s">
        <v>77</v>
      </c>
      <c r="C30" s="7">
        <v>98</v>
      </c>
      <c r="D30" s="7">
        <v>95</v>
      </c>
      <c r="E30" s="7">
        <v>93</v>
      </c>
      <c r="F30" s="7">
        <v>94</v>
      </c>
      <c r="G30" s="9">
        <v>66</v>
      </c>
      <c r="H30" s="16">
        <f t="shared" si="0"/>
        <v>96.5</v>
      </c>
      <c r="I30" s="16">
        <f t="shared" si="1"/>
        <v>93.5</v>
      </c>
      <c r="J30" s="7">
        <f t="shared" si="2"/>
        <v>86.300000000000011</v>
      </c>
      <c r="L30" s="6"/>
    </row>
    <row r="31" spans="1:12" ht="15.6" x14ac:dyDescent="0.3">
      <c r="A31" s="5">
        <v>22</v>
      </c>
      <c r="B31" s="20" t="s">
        <v>78</v>
      </c>
      <c r="C31" s="7">
        <v>98</v>
      </c>
      <c r="D31" s="7">
        <v>98</v>
      </c>
      <c r="E31" s="7">
        <v>90</v>
      </c>
      <c r="F31" s="7">
        <v>95</v>
      </c>
      <c r="G31" s="9">
        <v>92</v>
      </c>
      <c r="H31" s="16">
        <f t="shared" si="0"/>
        <v>98</v>
      </c>
      <c r="I31" s="16">
        <f t="shared" si="1"/>
        <v>92.5</v>
      </c>
      <c r="J31" s="7">
        <f t="shared" si="2"/>
        <v>94.275000000000006</v>
      </c>
      <c r="L31" s="6"/>
    </row>
    <row r="32" spans="1:12" x14ac:dyDescent="0.3">
      <c r="A32" s="3" t="s">
        <v>135</v>
      </c>
      <c r="B32" s="3"/>
      <c r="C32" s="3"/>
      <c r="D32" s="3"/>
      <c r="E32" s="3"/>
      <c r="F32" s="3"/>
      <c r="G32" s="3"/>
      <c r="I32" s="3"/>
      <c r="J32" s="3"/>
      <c r="K32" s="3"/>
      <c r="L32" s="3"/>
    </row>
    <row r="34" spans="8:8" x14ac:dyDescent="0.3">
      <c r="H34" s="2" t="s">
        <v>32</v>
      </c>
    </row>
    <row r="35" spans="8:8" x14ac:dyDescent="0.3">
      <c r="H35" s="2" t="s">
        <v>11</v>
      </c>
    </row>
    <row r="36" spans="8:8" x14ac:dyDescent="0.3">
      <c r="H36" s="2"/>
    </row>
    <row r="37" spans="8:8" x14ac:dyDescent="0.3">
      <c r="H37" s="2"/>
    </row>
    <row r="38" spans="8:8" x14ac:dyDescent="0.3">
      <c r="H38" s="2" t="s">
        <v>33</v>
      </c>
    </row>
  </sheetData>
  <mergeCells count="7">
    <mergeCell ref="E8:F8"/>
    <mergeCell ref="H8:I8"/>
    <mergeCell ref="A8:A9"/>
    <mergeCell ref="B8:B9"/>
    <mergeCell ref="A1:J1"/>
    <mergeCell ref="A2:J2"/>
    <mergeCell ref="C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EB30-20B6-4035-BFD8-9ADDB77C4726}">
  <dimension ref="A1:L39"/>
  <sheetViews>
    <sheetView topLeftCell="A8" zoomScaleNormal="100" workbookViewId="0">
      <selection activeCell="C10" sqref="C10:G31"/>
    </sheetView>
  </sheetViews>
  <sheetFormatPr defaultRowHeight="14.4" x14ac:dyDescent="0.3"/>
  <cols>
    <col min="2" max="2" width="40.21875" customWidth="1"/>
    <col min="7" max="7" width="14" customWidth="1"/>
    <col min="8" max="8" width="10.77734375" customWidth="1"/>
    <col min="9" max="9" width="12.88671875" customWidth="1"/>
    <col min="10" max="10" width="38.33203125" customWidth="1"/>
    <col min="17" max="17" width="11.5546875" customWidth="1"/>
    <col min="19" max="19" width="28.33203125" customWidth="1"/>
  </cols>
  <sheetData>
    <row r="1" spans="1:12" ht="17.399999999999999" x14ac:dyDescent="0.3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3"/>
      <c r="L1" s="3"/>
    </row>
    <row r="2" spans="1:12" ht="17.399999999999999" x14ac:dyDescent="0.3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2" t="s">
        <v>0</v>
      </c>
      <c r="B4" s="3"/>
      <c r="C4" s="2" t="s">
        <v>30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2" t="s">
        <v>13</v>
      </c>
      <c r="B6" s="3"/>
      <c r="C6" s="2" t="s">
        <v>28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45" customHeight="1" x14ac:dyDescent="0.3">
      <c r="A8" s="28" t="s">
        <v>2</v>
      </c>
      <c r="B8" s="29" t="s">
        <v>3</v>
      </c>
      <c r="C8" s="30" t="s">
        <v>22</v>
      </c>
      <c r="D8" s="30"/>
      <c r="E8" s="31" t="s">
        <v>23</v>
      </c>
      <c r="F8" s="31"/>
      <c r="G8" s="19" t="s">
        <v>7</v>
      </c>
      <c r="H8" s="26" t="s">
        <v>21</v>
      </c>
      <c r="I8" s="27"/>
      <c r="J8" s="14" t="s">
        <v>8</v>
      </c>
      <c r="L8" s="1" t="s">
        <v>14</v>
      </c>
    </row>
    <row r="9" spans="1:12" ht="14.55" customHeight="1" x14ac:dyDescent="0.3">
      <c r="A9" s="28"/>
      <c r="B9" s="29"/>
      <c r="C9" s="11" t="s">
        <v>4</v>
      </c>
      <c r="D9" s="11" t="s">
        <v>5</v>
      </c>
      <c r="E9" s="12" t="s">
        <v>4</v>
      </c>
      <c r="F9" s="12" t="s">
        <v>6</v>
      </c>
      <c r="G9" s="19" t="s">
        <v>20</v>
      </c>
      <c r="H9" s="13" t="s">
        <v>24</v>
      </c>
      <c r="I9" s="13" t="s">
        <v>25</v>
      </c>
      <c r="J9" s="15"/>
      <c r="L9" s="2" t="s">
        <v>9</v>
      </c>
    </row>
    <row r="10" spans="1:12" ht="15.6" x14ac:dyDescent="0.3">
      <c r="A10" s="5">
        <v>1</v>
      </c>
      <c r="B10" s="20" t="s">
        <v>79</v>
      </c>
      <c r="C10" s="7">
        <v>90</v>
      </c>
      <c r="D10" s="5">
        <v>98</v>
      </c>
      <c r="E10" s="7">
        <v>90</v>
      </c>
      <c r="F10" s="5">
        <v>98</v>
      </c>
      <c r="G10" s="18">
        <v>94</v>
      </c>
      <c r="H10" s="16">
        <f>AVERAGE(C10:D10)</f>
        <v>94</v>
      </c>
      <c r="I10" s="16">
        <f>AVERAGE(E10:F10)</f>
        <v>94</v>
      </c>
      <c r="J10" s="7">
        <f>(G10*30/100)+(H10*35/100)+(I10*35/100)</f>
        <v>94</v>
      </c>
      <c r="L10" s="2" t="s">
        <v>15</v>
      </c>
    </row>
    <row r="11" spans="1:12" ht="15.6" x14ac:dyDescent="0.3">
      <c r="A11" s="5">
        <v>2</v>
      </c>
      <c r="B11" s="20" t="s">
        <v>136</v>
      </c>
      <c r="C11" s="7">
        <v>89</v>
      </c>
      <c r="D11" s="7">
        <v>98</v>
      </c>
      <c r="E11" s="7">
        <v>91</v>
      </c>
      <c r="F11" s="7">
        <v>94</v>
      </c>
      <c r="G11" s="9">
        <v>94</v>
      </c>
      <c r="H11" s="16">
        <f t="shared" ref="H11:H31" si="0">AVERAGE(C11:D11)</f>
        <v>93.5</v>
      </c>
      <c r="I11" s="16">
        <f t="shared" ref="I11:I31" si="1">AVERAGE(E11:F11)</f>
        <v>92.5</v>
      </c>
      <c r="J11" s="7">
        <f t="shared" ref="J11:J31" si="2">(G11*30/100)+(H11*35/100)+(I11*35/100)</f>
        <v>93.3</v>
      </c>
      <c r="L11" s="2" t="s">
        <v>17</v>
      </c>
    </row>
    <row r="12" spans="1:12" ht="15.6" x14ac:dyDescent="0.3">
      <c r="A12" s="5">
        <v>3</v>
      </c>
      <c r="B12" s="20" t="s">
        <v>80</v>
      </c>
      <c r="C12" s="7">
        <v>100</v>
      </c>
      <c r="D12" s="5">
        <v>98</v>
      </c>
      <c r="E12" s="7">
        <v>97</v>
      </c>
      <c r="F12" s="5">
        <v>98</v>
      </c>
      <c r="G12" s="9">
        <v>70</v>
      </c>
      <c r="H12" s="16">
        <f t="shared" si="0"/>
        <v>99</v>
      </c>
      <c r="I12" s="16">
        <f t="shared" si="1"/>
        <v>97.5</v>
      </c>
      <c r="J12" s="7">
        <f t="shared" si="2"/>
        <v>89.775000000000006</v>
      </c>
      <c r="L12" s="2" t="s">
        <v>18</v>
      </c>
    </row>
    <row r="13" spans="1:12" ht="15.6" x14ac:dyDescent="0.3">
      <c r="A13" s="5">
        <v>4</v>
      </c>
      <c r="B13" s="20" t="s">
        <v>81</v>
      </c>
      <c r="C13" s="7">
        <v>93</v>
      </c>
      <c r="D13" s="5">
        <v>100</v>
      </c>
      <c r="E13" s="7">
        <v>97</v>
      </c>
      <c r="F13" s="5">
        <v>100</v>
      </c>
      <c r="G13" s="9">
        <v>59</v>
      </c>
      <c r="H13" s="16">
        <f t="shared" si="0"/>
        <v>96.5</v>
      </c>
      <c r="I13" s="16">
        <f t="shared" si="1"/>
        <v>98.5</v>
      </c>
      <c r="J13" s="7">
        <f t="shared" si="2"/>
        <v>85.949999999999989</v>
      </c>
      <c r="L13" s="2" t="s">
        <v>19</v>
      </c>
    </row>
    <row r="14" spans="1:12" ht="15.6" x14ac:dyDescent="0.3">
      <c r="A14" s="5">
        <v>5</v>
      </c>
      <c r="B14" s="20" t="s">
        <v>82</v>
      </c>
      <c r="C14" s="7">
        <v>97</v>
      </c>
      <c r="D14" s="7">
        <v>90</v>
      </c>
      <c r="E14" s="7">
        <v>95</v>
      </c>
      <c r="F14" s="7">
        <v>93</v>
      </c>
      <c r="G14" s="9">
        <v>38</v>
      </c>
      <c r="H14" s="16">
        <f t="shared" si="0"/>
        <v>93.5</v>
      </c>
      <c r="I14" s="16">
        <f t="shared" si="1"/>
        <v>94</v>
      </c>
      <c r="J14" s="7">
        <f t="shared" si="2"/>
        <v>77.025000000000006</v>
      </c>
      <c r="L14" s="2" t="s">
        <v>10</v>
      </c>
    </row>
    <row r="15" spans="1:12" ht="15.6" x14ac:dyDescent="0.3">
      <c r="A15" s="5">
        <v>6</v>
      </c>
      <c r="B15" s="20" t="s">
        <v>99</v>
      </c>
      <c r="C15" s="7">
        <v>98</v>
      </c>
      <c r="D15" s="7">
        <v>98</v>
      </c>
      <c r="E15" s="7">
        <v>90</v>
      </c>
      <c r="F15" s="7">
        <v>88</v>
      </c>
      <c r="G15" s="9">
        <v>78</v>
      </c>
      <c r="H15" s="16">
        <f>AVERAGE(C15:D15)</f>
        <v>98</v>
      </c>
      <c r="I15" s="16">
        <f>AVERAGE(E15:F15)</f>
        <v>89</v>
      </c>
      <c r="J15" s="7">
        <f>(G15*30/100)+(H15*35/100)+(I15*35/100)</f>
        <v>88.85</v>
      </c>
      <c r="L15" s="6"/>
    </row>
    <row r="16" spans="1:12" ht="15.6" x14ac:dyDescent="0.3">
      <c r="A16" s="5">
        <v>7</v>
      </c>
      <c r="B16" s="20" t="s">
        <v>83</v>
      </c>
      <c r="C16" s="7">
        <v>90</v>
      </c>
      <c r="D16" s="7">
        <v>90</v>
      </c>
      <c r="E16" s="7">
        <v>87</v>
      </c>
      <c r="F16" s="7">
        <v>97</v>
      </c>
      <c r="G16" s="22">
        <v>69</v>
      </c>
      <c r="H16" s="16">
        <f t="shared" si="0"/>
        <v>90</v>
      </c>
      <c r="I16" s="16">
        <f t="shared" si="1"/>
        <v>92</v>
      </c>
      <c r="J16" s="7">
        <f t="shared" si="2"/>
        <v>84.4</v>
      </c>
      <c r="L16" s="6"/>
    </row>
    <row r="17" spans="1:12" ht="15.6" x14ac:dyDescent="0.3">
      <c r="A17" s="5">
        <v>8</v>
      </c>
      <c r="B17" s="20" t="s">
        <v>84</v>
      </c>
      <c r="C17" s="7">
        <v>95</v>
      </c>
      <c r="D17" s="7">
        <v>90</v>
      </c>
      <c r="E17" s="7">
        <v>97</v>
      </c>
      <c r="F17" s="7">
        <v>92</v>
      </c>
      <c r="G17" s="9">
        <v>86</v>
      </c>
      <c r="H17" s="16">
        <f t="shared" si="0"/>
        <v>92.5</v>
      </c>
      <c r="I17" s="16">
        <f t="shared" si="1"/>
        <v>94.5</v>
      </c>
      <c r="J17" s="7">
        <f t="shared" si="2"/>
        <v>91.25</v>
      </c>
      <c r="L17" s="6"/>
    </row>
    <row r="18" spans="1:12" ht="15.6" x14ac:dyDescent="0.3">
      <c r="A18" s="5">
        <v>9</v>
      </c>
      <c r="B18" s="20" t="s">
        <v>85</v>
      </c>
      <c r="C18" s="7">
        <v>89</v>
      </c>
      <c r="D18" s="7">
        <v>86</v>
      </c>
      <c r="E18" s="7">
        <v>93</v>
      </c>
      <c r="F18" s="7">
        <v>90</v>
      </c>
      <c r="G18" s="9">
        <v>70</v>
      </c>
      <c r="H18" s="16">
        <f t="shared" si="0"/>
        <v>87.5</v>
      </c>
      <c r="I18" s="16">
        <f t="shared" si="1"/>
        <v>91.5</v>
      </c>
      <c r="J18" s="7">
        <f t="shared" si="2"/>
        <v>83.65</v>
      </c>
      <c r="L18" s="6"/>
    </row>
    <row r="19" spans="1:12" ht="15.6" x14ac:dyDescent="0.3">
      <c r="A19" s="5">
        <v>10</v>
      </c>
      <c r="B19" s="20" t="s">
        <v>86</v>
      </c>
      <c r="C19" s="7">
        <v>89</v>
      </c>
      <c r="D19" s="7">
        <v>90</v>
      </c>
      <c r="E19" s="7">
        <v>96</v>
      </c>
      <c r="F19" s="7">
        <v>90</v>
      </c>
      <c r="G19" s="9">
        <v>86</v>
      </c>
      <c r="H19" s="16">
        <f t="shared" si="0"/>
        <v>89.5</v>
      </c>
      <c r="I19" s="16">
        <f t="shared" si="1"/>
        <v>93</v>
      </c>
      <c r="J19" s="7">
        <f t="shared" si="2"/>
        <v>89.674999999999997</v>
      </c>
      <c r="L19" s="6"/>
    </row>
    <row r="20" spans="1:12" ht="15.6" x14ac:dyDescent="0.3">
      <c r="A20" s="5">
        <v>11</v>
      </c>
      <c r="B20" s="20" t="s">
        <v>87</v>
      </c>
      <c r="C20" s="7">
        <v>100</v>
      </c>
      <c r="D20" s="7">
        <v>97</v>
      </c>
      <c r="E20" s="7">
        <v>95</v>
      </c>
      <c r="F20" s="7">
        <v>100</v>
      </c>
      <c r="G20" s="9">
        <v>38</v>
      </c>
      <c r="H20" s="16">
        <f t="shared" si="0"/>
        <v>98.5</v>
      </c>
      <c r="I20" s="16">
        <f t="shared" si="1"/>
        <v>97.5</v>
      </c>
      <c r="J20" s="7">
        <f t="shared" si="2"/>
        <v>80</v>
      </c>
      <c r="L20" s="6"/>
    </row>
    <row r="21" spans="1:12" ht="15.6" x14ac:dyDescent="0.3">
      <c r="A21" s="5">
        <v>12</v>
      </c>
      <c r="B21" s="20" t="s">
        <v>88</v>
      </c>
      <c r="C21" s="7">
        <v>90</v>
      </c>
      <c r="D21" s="7">
        <v>100</v>
      </c>
      <c r="E21" s="7">
        <v>90</v>
      </c>
      <c r="F21" s="7">
        <v>100</v>
      </c>
      <c r="G21" s="9">
        <v>31</v>
      </c>
      <c r="H21" s="16">
        <f t="shared" si="0"/>
        <v>95</v>
      </c>
      <c r="I21" s="16">
        <f t="shared" si="1"/>
        <v>95</v>
      </c>
      <c r="J21" s="7">
        <f t="shared" si="2"/>
        <v>75.8</v>
      </c>
      <c r="L21" s="6"/>
    </row>
    <row r="22" spans="1:12" ht="15.6" x14ac:dyDescent="0.3">
      <c r="A22" s="5">
        <v>13</v>
      </c>
      <c r="B22" s="20" t="s">
        <v>89</v>
      </c>
      <c r="C22" s="7">
        <v>90</v>
      </c>
      <c r="D22" s="7">
        <v>97</v>
      </c>
      <c r="E22" s="7">
        <v>89</v>
      </c>
      <c r="F22" s="7">
        <v>89</v>
      </c>
      <c r="G22" s="9">
        <v>88</v>
      </c>
      <c r="H22" s="16">
        <f t="shared" si="0"/>
        <v>93.5</v>
      </c>
      <c r="I22" s="16">
        <f t="shared" si="1"/>
        <v>89</v>
      </c>
      <c r="J22" s="7">
        <f t="shared" si="2"/>
        <v>90.275000000000006</v>
      </c>
      <c r="L22" s="6"/>
    </row>
    <row r="23" spans="1:12" ht="15.6" x14ac:dyDescent="0.3">
      <c r="A23" s="5">
        <v>14</v>
      </c>
      <c r="B23" s="20" t="s">
        <v>90</v>
      </c>
      <c r="C23" s="7">
        <v>97</v>
      </c>
      <c r="D23" s="7">
        <v>97</v>
      </c>
      <c r="E23" s="7">
        <v>90</v>
      </c>
      <c r="F23" s="7">
        <v>94</v>
      </c>
      <c r="G23" s="9">
        <v>48</v>
      </c>
      <c r="H23" s="16">
        <f t="shared" si="0"/>
        <v>97</v>
      </c>
      <c r="I23" s="16">
        <f t="shared" si="1"/>
        <v>92</v>
      </c>
      <c r="J23" s="7">
        <f t="shared" si="2"/>
        <v>80.550000000000011</v>
      </c>
      <c r="L23" s="6"/>
    </row>
    <row r="24" spans="1:12" ht="15.6" x14ac:dyDescent="0.3">
      <c r="A24" s="5">
        <v>15</v>
      </c>
      <c r="B24" s="20" t="s">
        <v>91</v>
      </c>
      <c r="C24" s="7">
        <v>90</v>
      </c>
      <c r="D24" s="5">
        <v>98</v>
      </c>
      <c r="E24" s="7">
        <v>90</v>
      </c>
      <c r="F24" s="5">
        <v>98</v>
      </c>
      <c r="G24" s="9">
        <v>90</v>
      </c>
      <c r="H24" s="16">
        <f t="shared" si="0"/>
        <v>94</v>
      </c>
      <c r="I24" s="16">
        <f t="shared" si="1"/>
        <v>94</v>
      </c>
      <c r="J24" s="7">
        <f t="shared" si="2"/>
        <v>92.8</v>
      </c>
      <c r="L24" s="6"/>
    </row>
    <row r="25" spans="1:12" ht="15.6" x14ac:dyDescent="0.3">
      <c r="A25" s="5">
        <v>16</v>
      </c>
      <c r="B25" s="20" t="s">
        <v>92</v>
      </c>
      <c r="C25" s="7">
        <v>87</v>
      </c>
      <c r="D25" s="7">
        <v>100</v>
      </c>
      <c r="E25" s="7">
        <v>87</v>
      </c>
      <c r="F25" s="7">
        <v>90</v>
      </c>
      <c r="G25" s="9">
        <v>57</v>
      </c>
      <c r="H25" s="16">
        <f t="shared" si="0"/>
        <v>93.5</v>
      </c>
      <c r="I25" s="16">
        <f t="shared" si="1"/>
        <v>88.5</v>
      </c>
      <c r="J25" s="7">
        <f t="shared" si="2"/>
        <v>80.800000000000011</v>
      </c>
      <c r="L25" s="6"/>
    </row>
    <row r="26" spans="1:12" ht="15.6" x14ac:dyDescent="0.3">
      <c r="A26" s="5">
        <v>17</v>
      </c>
      <c r="B26" s="20" t="s">
        <v>93</v>
      </c>
      <c r="C26" s="7">
        <v>89</v>
      </c>
      <c r="D26" s="5">
        <v>98</v>
      </c>
      <c r="E26" s="7">
        <v>90</v>
      </c>
      <c r="F26" s="5">
        <v>98</v>
      </c>
      <c r="G26" s="9">
        <v>74</v>
      </c>
      <c r="H26" s="16">
        <f t="shared" si="0"/>
        <v>93.5</v>
      </c>
      <c r="I26" s="16">
        <f t="shared" si="1"/>
        <v>94</v>
      </c>
      <c r="J26" s="7">
        <f t="shared" si="2"/>
        <v>87.824999999999989</v>
      </c>
      <c r="L26" s="6"/>
    </row>
    <row r="27" spans="1:12" ht="15.6" x14ac:dyDescent="0.3">
      <c r="A27" s="5">
        <v>18</v>
      </c>
      <c r="B27" s="20" t="s">
        <v>94</v>
      </c>
      <c r="C27" s="7">
        <v>90</v>
      </c>
      <c r="D27" s="5">
        <v>100</v>
      </c>
      <c r="E27" s="7">
        <v>95</v>
      </c>
      <c r="F27" s="5">
        <v>100</v>
      </c>
      <c r="G27" s="9">
        <v>38</v>
      </c>
      <c r="H27" s="16">
        <f t="shared" si="0"/>
        <v>95</v>
      </c>
      <c r="I27" s="16">
        <f t="shared" si="1"/>
        <v>97.5</v>
      </c>
      <c r="J27" s="7">
        <f t="shared" si="2"/>
        <v>78.775000000000006</v>
      </c>
      <c r="L27" s="6"/>
    </row>
    <row r="28" spans="1:12" ht="15.6" x14ac:dyDescent="0.3">
      <c r="A28" s="5">
        <v>19</v>
      </c>
      <c r="B28" s="20" t="s">
        <v>95</v>
      </c>
      <c r="C28" s="7">
        <v>95</v>
      </c>
      <c r="D28" s="7">
        <v>98</v>
      </c>
      <c r="E28" s="7">
        <v>97</v>
      </c>
      <c r="F28" s="7">
        <v>90</v>
      </c>
      <c r="G28" s="9">
        <v>94</v>
      </c>
      <c r="H28" s="16">
        <f t="shared" si="0"/>
        <v>96.5</v>
      </c>
      <c r="I28" s="16">
        <f t="shared" si="1"/>
        <v>93.5</v>
      </c>
      <c r="J28" s="7">
        <f t="shared" si="2"/>
        <v>94.699999999999989</v>
      </c>
      <c r="L28" s="6"/>
    </row>
    <row r="29" spans="1:12" ht="15.6" x14ac:dyDescent="0.3">
      <c r="A29" s="5">
        <v>20</v>
      </c>
      <c r="B29" s="20" t="s">
        <v>96</v>
      </c>
      <c r="C29" s="5">
        <v>98</v>
      </c>
      <c r="D29" s="7">
        <v>90</v>
      </c>
      <c r="E29" s="5">
        <v>98</v>
      </c>
      <c r="F29" s="7">
        <v>90</v>
      </c>
      <c r="G29" s="9">
        <v>74</v>
      </c>
      <c r="H29" s="16">
        <f t="shared" si="0"/>
        <v>94</v>
      </c>
      <c r="I29" s="16">
        <f t="shared" si="1"/>
        <v>94</v>
      </c>
      <c r="J29" s="7">
        <f t="shared" si="2"/>
        <v>88</v>
      </c>
      <c r="L29" s="6"/>
    </row>
    <row r="30" spans="1:12" ht="15.6" x14ac:dyDescent="0.3">
      <c r="A30" s="5">
        <v>21</v>
      </c>
      <c r="B30" s="20" t="s">
        <v>97</v>
      </c>
      <c r="C30" s="5">
        <v>89</v>
      </c>
      <c r="D30" s="7">
        <v>98</v>
      </c>
      <c r="E30" s="5">
        <v>94</v>
      </c>
      <c r="F30" s="7">
        <v>97</v>
      </c>
      <c r="G30" s="9">
        <v>94</v>
      </c>
      <c r="H30" s="16">
        <f t="shared" si="0"/>
        <v>93.5</v>
      </c>
      <c r="I30" s="16">
        <f t="shared" si="1"/>
        <v>95.5</v>
      </c>
      <c r="J30" s="7">
        <f t="shared" si="2"/>
        <v>94.35</v>
      </c>
      <c r="L30" s="6"/>
    </row>
    <row r="31" spans="1:12" ht="15.6" x14ac:dyDescent="0.3">
      <c r="A31" s="5">
        <v>22</v>
      </c>
      <c r="B31" s="20" t="s">
        <v>98</v>
      </c>
      <c r="C31" s="7">
        <v>98</v>
      </c>
      <c r="D31" s="7">
        <v>95</v>
      </c>
      <c r="E31" s="7">
        <v>93</v>
      </c>
      <c r="F31" s="7">
        <v>94</v>
      </c>
      <c r="G31" s="9">
        <v>84</v>
      </c>
      <c r="H31" s="16">
        <f t="shared" si="0"/>
        <v>96.5</v>
      </c>
      <c r="I31" s="16">
        <f t="shared" si="1"/>
        <v>93.5</v>
      </c>
      <c r="J31" s="7">
        <f t="shared" si="2"/>
        <v>91.699999999999989</v>
      </c>
      <c r="L31" s="6"/>
    </row>
    <row r="33" spans="1:12" x14ac:dyDescent="0.3">
      <c r="A33" s="3"/>
      <c r="B33" s="3"/>
      <c r="C33" s="3"/>
      <c r="D33" s="3"/>
      <c r="E33" s="3"/>
      <c r="F33" s="3"/>
      <c r="G33" s="3"/>
      <c r="I33" s="3"/>
      <c r="J33" s="3"/>
      <c r="K33" s="3"/>
      <c r="L33" s="3"/>
    </row>
    <row r="35" spans="1:12" x14ac:dyDescent="0.3">
      <c r="H35" s="2" t="s">
        <v>32</v>
      </c>
    </row>
    <row r="36" spans="1:12" x14ac:dyDescent="0.3">
      <c r="H36" s="2" t="s">
        <v>11</v>
      </c>
    </row>
    <row r="37" spans="1:12" x14ac:dyDescent="0.3">
      <c r="H37" s="2"/>
    </row>
    <row r="38" spans="1:12" x14ac:dyDescent="0.3">
      <c r="H38" s="2"/>
    </row>
    <row r="39" spans="1:12" x14ac:dyDescent="0.3">
      <c r="H39" s="2" t="s">
        <v>33</v>
      </c>
    </row>
  </sheetData>
  <mergeCells count="7">
    <mergeCell ref="E8:F8"/>
    <mergeCell ref="H8:I8"/>
    <mergeCell ref="A8:A9"/>
    <mergeCell ref="B8:B9"/>
    <mergeCell ref="A1:J1"/>
    <mergeCell ref="A2:J2"/>
    <mergeCell ref="C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5971-96E0-4B5C-99F8-DBE21D73B712}">
  <dimension ref="A1:U48"/>
  <sheetViews>
    <sheetView tabSelected="1" topLeftCell="A21" zoomScale="110" zoomScaleNormal="110" workbookViewId="0">
      <selection activeCell="C10" sqref="C10:F41"/>
    </sheetView>
  </sheetViews>
  <sheetFormatPr defaultRowHeight="14.4" x14ac:dyDescent="0.3"/>
  <cols>
    <col min="2" max="2" width="40.21875" customWidth="1"/>
    <col min="7" max="7" width="14" customWidth="1"/>
    <col min="8" max="8" width="10.77734375" customWidth="1"/>
    <col min="9" max="9" width="12.88671875" customWidth="1"/>
    <col min="10" max="10" width="38.33203125" customWidth="1"/>
    <col min="17" max="17" width="11.5546875" customWidth="1"/>
    <col min="19" max="19" width="28.33203125" customWidth="1"/>
  </cols>
  <sheetData>
    <row r="1" spans="1:12" ht="17.399999999999999" x14ac:dyDescent="0.3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3"/>
      <c r="L1" s="3"/>
    </row>
    <row r="2" spans="1:12" ht="17.399999999999999" x14ac:dyDescent="0.3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2" t="s">
        <v>0</v>
      </c>
      <c r="B4" s="3"/>
      <c r="C4" s="2" t="s">
        <v>29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2" t="s">
        <v>13</v>
      </c>
      <c r="B6" s="3"/>
      <c r="C6" s="2" t="s">
        <v>28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45" customHeight="1" x14ac:dyDescent="0.3">
      <c r="A8" s="28" t="s">
        <v>2</v>
      </c>
      <c r="B8" s="29" t="s">
        <v>3</v>
      </c>
      <c r="C8" s="30" t="s">
        <v>22</v>
      </c>
      <c r="D8" s="30"/>
      <c r="E8" s="31" t="s">
        <v>23</v>
      </c>
      <c r="F8" s="31"/>
      <c r="G8" s="19" t="s">
        <v>7</v>
      </c>
      <c r="H8" s="26" t="s">
        <v>21</v>
      </c>
      <c r="I8" s="27"/>
      <c r="J8" s="14" t="s">
        <v>8</v>
      </c>
      <c r="L8" s="1" t="s">
        <v>14</v>
      </c>
    </row>
    <row r="9" spans="1:12" ht="14.55" customHeight="1" x14ac:dyDescent="0.3">
      <c r="A9" s="28"/>
      <c r="B9" s="29"/>
      <c r="C9" s="11" t="s">
        <v>4</v>
      </c>
      <c r="D9" s="11" t="s">
        <v>5</v>
      </c>
      <c r="E9" s="12" t="s">
        <v>4</v>
      </c>
      <c r="F9" s="12" t="s">
        <v>6</v>
      </c>
      <c r="G9" s="19" t="s">
        <v>20</v>
      </c>
      <c r="H9" s="13" t="s">
        <v>24</v>
      </c>
      <c r="I9" s="13" t="s">
        <v>25</v>
      </c>
      <c r="J9" s="15"/>
      <c r="L9" s="2" t="s">
        <v>9</v>
      </c>
    </row>
    <row r="10" spans="1:12" ht="15.6" x14ac:dyDescent="0.3">
      <c r="A10" s="5">
        <v>1</v>
      </c>
      <c r="B10" s="23" t="s">
        <v>137</v>
      </c>
      <c r="C10" s="7">
        <v>96</v>
      </c>
      <c r="D10" s="5">
        <v>100</v>
      </c>
      <c r="E10" s="17">
        <v>100</v>
      </c>
      <c r="F10" s="17">
        <v>100</v>
      </c>
      <c r="G10" s="18">
        <v>31</v>
      </c>
      <c r="H10" s="16">
        <f>AVERAGE(C10:D10)</f>
        <v>98</v>
      </c>
      <c r="I10" s="16">
        <f>AVERAGE(E10:F10)</f>
        <v>100</v>
      </c>
      <c r="J10" s="7">
        <f>(G10*30/100)+(H10*35/100)+(I10*35/100)</f>
        <v>78.599999999999994</v>
      </c>
      <c r="L10" s="2" t="s">
        <v>15</v>
      </c>
    </row>
    <row r="11" spans="1:12" ht="15.6" x14ac:dyDescent="0.3">
      <c r="A11" s="5">
        <v>2</v>
      </c>
      <c r="B11" s="23" t="s">
        <v>100</v>
      </c>
      <c r="C11" s="7">
        <v>100</v>
      </c>
      <c r="D11" s="7">
        <v>95</v>
      </c>
      <c r="E11" s="5">
        <v>98</v>
      </c>
      <c r="F11" s="5">
        <v>94</v>
      </c>
      <c r="G11" s="9">
        <v>43</v>
      </c>
      <c r="H11" s="16">
        <f t="shared" ref="H11:H41" si="0">AVERAGE(C11:D11)</f>
        <v>97.5</v>
      </c>
      <c r="I11" s="16">
        <f t="shared" ref="I11:I41" si="1">AVERAGE(E11:F11)</f>
        <v>96</v>
      </c>
      <c r="J11" s="7">
        <f t="shared" ref="J11:J41" si="2">(G11*30/100)+(H11*35/100)+(I11*35/100)</f>
        <v>80.625</v>
      </c>
      <c r="L11" s="2" t="s">
        <v>17</v>
      </c>
    </row>
    <row r="12" spans="1:12" ht="15.6" x14ac:dyDescent="0.3">
      <c r="A12" s="5">
        <v>3</v>
      </c>
      <c r="B12" s="24" t="s">
        <v>138</v>
      </c>
      <c r="C12" s="7">
        <v>100</v>
      </c>
      <c r="D12" s="5">
        <v>95</v>
      </c>
      <c r="E12" s="5">
        <v>97</v>
      </c>
      <c r="F12" s="5">
        <v>98</v>
      </c>
      <c r="G12" s="9">
        <v>47</v>
      </c>
      <c r="H12" s="16">
        <f t="shared" si="0"/>
        <v>97.5</v>
      </c>
      <c r="I12" s="16">
        <f t="shared" si="1"/>
        <v>97.5</v>
      </c>
      <c r="J12" s="7">
        <f t="shared" si="2"/>
        <v>82.35</v>
      </c>
      <c r="L12" s="2" t="s">
        <v>18</v>
      </c>
    </row>
    <row r="13" spans="1:12" ht="15.6" x14ac:dyDescent="0.3">
      <c r="A13" s="5">
        <v>4</v>
      </c>
      <c r="B13" s="24" t="s">
        <v>101</v>
      </c>
      <c r="C13" s="7">
        <v>93</v>
      </c>
      <c r="D13" s="5">
        <v>94</v>
      </c>
      <c r="E13" s="5">
        <v>93</v>
      </c>
      <c r="F13" s="5">
        <v>94</v>
      </c>
      <c r="G13" s="9">
        <v>95</v>
      </c>
      <c r="H13" s="16">
        <f t="shared" si="0"/>
        <v>93.5</v>
      </c>
      <c r="I13" s="16">
        <f t="shared" si="1"/>
        <v>93.5</v>
      </c>
      <c r="J13" s="7">
        <f t="shared" si="2"/>
        <v>93.95</v>
      </c>
      <c r="L13" s="2" t="s">
        <v>19</v>
      </c>
    </row>
    <row r="14" spans="1:12" ht="15.6" x14ac:dyDescent="0.3">
      <c r="A14" s="5">
        <v>5</v>
      </c>
      <c r="B14" s="23" t="s">
        <v>139</v>
      </c>
      <c r="C14" s="7">
        <v>85</v>
      </c>
      <c r="D14" s="7">
        <v>86</v>
      </c>
      <c r="E14" s="5">
        <v>95</v>
      </c>
      <c r="F14" s="5">
        <v>93</v>
      </c>
      <c r="G14" s="9">
        <v>75</v>
      </c>
      <c r="H14" s="16">
        <f t="shared" si="0"/>
        <v>85.5</v>
      </c>
      <c r="I14" s="16">
        <f t="shared" si="1"/>
        <v>94</v>
      </c>
      <c r="J14" s="7">
        <f t="shared" si="2"/>
        <v>85.324999999999989</v>
      </c>
      <c r="L14" s="2" t="s">
        <v>10</v>
      </c>
    </row>
    <row r="15" spans="1:12" ht="15.6" x14ac:dyDescent="0.3">
      <c r="A15" s="5">
        <v>6</v>
      </c>
      <c r="B15" s="23" t="s">
        <v>140</v>
      </c>
      <c r="C15" s="7">
        <v>100</v>
      </c>
      <c r="D15" s="5">
        <v>100</v>
      </c>
      <c r="E15" s="5">
        <v>96</v>
      </c>
      <c r="F15" s="5">
        <v>97</v>
      </c>
      <c r="G15" s="9">
        <v>34</v>
      </c>
      <c r="H15" s="16">
        <f t="shared" si="0"/>
        <v>100</v>
      </c>
      <c r="I15" s="16">
        <f t="shared" si="1"/>
        <v>96.5</v>
      </c>
      <c r="J15" s="7">
        <f t="shared" si="2"/>
        <v>78.974999999999994</v>
      </c>
      <c r="L15" s="6"/>
    </row>
    <row r="16" spans="1:12" ht="15.6" x14ac:dyDescent="0.3">
      <c r="A16" s="5">
        <v>7</v>
      </c>
      <c r="B16" s="23" t="s">
        <v>141</v>
      </c>
      <c r="C16" s="7">
        <v>95</v>
      </c>
      <c r="D16" s="5">
        <v>93</v>
      </c>
      <c r="E16" s="5">
        <v>97</v>
      </c>
      <c r="F16" s="5">
        <v>94</v>
      </c>
      <c r="G16" s="9">
        <v>82</v>
      </c>
      <c r="H16" s="16">
        <f t="shared" si="0"/>
        <v>94</v>
      </c>
      <c r="I16" s="16">
        <f t="shared" si="1"/>
        <v>95.5</v>
      </c>
      <c r="J16" s="7">
        <f t="shared" si="2"/>
        <v>90.924999999999997</v>
      </c>
      <c r="L16" s="6"/>
    </row>
    <row r="17" spans="1:12" ht="15.6" x14ac:dyDescent="0.3">
      <c r="A17" s="5">
        <v>8</v>
      </c>
      <c r="B17" s="24" t="s">
        <v>142</v>
      </c>
      <c r="C17" s="7">
        <v>98</v>
      </c>
      <c r="D17" s="7">
        <v>97</v>
      </c>
      <c r="E17" s="5">
        <v>93</v>
      </c>
      <c r="F17" s="5">
        <v>95</v>
      </c>
      <c r="G17" s="9">
        <v>66</v>
      </c>
      <c r="H17" s="16">
        <f t="shared" si="0"/>
        <v>97.5</v>
      </c>
      <c r="I17" s="16">
        <f t="shared" si="1"/>
        <v>94</v>
      </c>
      <c r="J17" s="7">
        <f t="shared" si="2"/>
        <v>86.824999999999989</v>
      </c>
      <c r="L17" s="6"/>
    </row>
    <row r="18" spans="1:12" ht="15.6" x14ac:dyDescent="0.3">
      <c r="A18" s="5">
        <v>9</v>
      </c>
      <c r="B18" s="23" t="s">
        <v>143</v>
      </c>
      <c r="C18" s="7">
        <v>89</v>
      </c>
      <c r="D18" s="7">
        <v>94</v>
      </c>
      <c r="E18" s="5">
        <v>96</v>
      </c>
      <c r="F18" s="5">
        <v>90</v>
      </c>
      <c r="G18" s="9">
        <v>50</v>
      </c>
      <c r="H18" s="16">
        <f t="shared" si="0"/>
        <v>91.5</v>
      </c>
      <c r="I18" s="16">
        <f t="shared" si="1"/>
        <v>93</v>
      </c>
      <c r="J18" s="7">
        <f t="shared" si="2"/>
        <v>79.574999999999989</v>
      </c>
      <c r="L18" s="6"/>
    </row>
    <row r="19" spans="1:12" ht="15.6" x14ac:dyDescent="0.3">
      <c r="A19" s="5">
        <v>10</v>
      </c>
      <c r="B19" s="24" t="s">
        <v>144</v>
      </c>
      <c r="C19" s="7">
        <v>96</v>
      </c>
      <c r="D19" s="5">
        <v>97</v>
      </c>
      <c r="E19" s="5">
        <v>95</v>
      </c>
      <c r="F19" s="5">
        <v>95</v>
      </c>
      <c r="G19" s="9">
        <v>90</v>
      </c>
      <c r="H19" s="16">
        <f t="shared" si="0"/>
        <v>96.5</v>
      </c>
      <c r="I19" s="16">
        <f t="shared" si="1"/>
        <v>95</v>
      </c>
      <c r="J19" s="7">
        <f t="shared" si="2"/>
        <v>94.025000000000006</v>
      </c>
      <c r="L19" s="6"/>
    </row>
    <row r="20" spans="1:12" ht="15.6" x14ac:dyDescent="0.3">
      <c r="A20" s="5">
        <v>11</v>
      </c>
      <c r="B20" s="24" t="s">
        <v>145</v>
      </c>
      <c r="C20" s="7">
        <v>95</v>
      </c>
      <c r="D20" s="5">
        <v>100</v>
      </c>
      <c r="E20" s="5">
        <v>97</v>
      </c>
      <c r="F20" s="5">
        <v>100</v>
      </c>
      <c r="G20" s="9">
        <v>72</v>
      </c>
      <c r="H20" s="16">
        <f t="shared" si="0"/>
        <v>97.5</v>
      </c>
      <c r="I20" s="16">
        <f t="shared" si="1"/>
        <v>98.5</v>
      </c>
      <c r="J20" s="7">
        <f t="shared" si="2"/>
        <v>90.2</v>
      </c>
      <c r="L20" s="6"/>
    </row>
    <row r="21" spans="1:12" ht="15.6" x14ac:dyDescent="0.3">
      <c r="A21" s="5">
        <v>12</v>
      </c>
      <c r="B21" s="23" t="s">
        <v>146</v>
      </c>
      <c r="C21" s="7">
        <v>98</v>
      </c>
      <c r="D21" s="5">
        <v>97</v>
      </c>
      <c r="E21" s="5">
        <v>100</v>
      </c>
      <c r="F21" s="5">
        <v>100</v>
      </c>
      <c r="G21" s="9">
        <v>36</v>
      </c>
      <c r="H21" s="16">
        <f t="shared" si="0"/>
        <v>97.5</v>
      </c>
      <c r="I21" s="16">
        <f t="shared" si="1"/>
        <v>100</v>
      </c>
      <c r="J21" s="7">
        <f t="shared" si="2"/>
        <v>79.924999999999997</v>
      </c>
      <c r="L21" s="6"/>
    </row>
    <row r="22" spans="1:12" ht="15.6" x14ac:dyDescent="0.3">
      <c r="A22" s="5">
        <v>13</v>
      </c>
      <c r="B22" s="24" t="s">
        <v>147</v>
      </c>
      <c r="C22" s="7">
        <v>97</v>
      </c>
      <c r="D22" s="7">
        <v>95</v>
      </c>
      <c r="E22" s="5">
        <v>90</v>
      </c>
      <c r="F22" s="5">
        <v>94</v>
      </c>
      <c r="G22" s="9">
        <v>80</v>
      </c>
      <c r="H22" s="16">
        <f t="shared" si="0"/>
        <v>96</v>
      </c>
      <c r="I22" s="16">
        <f t="shared" si="1"/>
        <v>92</v>
      </c>
      <c r="J22" s="7">
        <f t="shared" si="2"/>
        <v>89.800000000000011</v>
      </c>
      <c r="L22" s="6"/>
    </row>
    <row r="23" spans="1:12" ht="15.6" x14ac:dyDescent="0.3">
      <c r="A23" s="5">
        <v>14</v>
      </c>
      <c r="B23" s="24" t="s">
        <v>148</v>
      </c>
      <c r="C23" s="7">
        <v>98</v>
      </c>
      <c r="D23" s="5">
        <v>97</v>
      </c>
      <c r="E23" s="5">
        <v>100</v>
      </c>
      <c r="F23" s="5">
        <v>94</v>
      </c>
      <c r="G23" s="9">
        <v>86</v>
      </c>
      <c r="H23" s="16">
        <f t="shared" si="0"/>
        <v>97.5</v>
      </c>
      <c r="I23" s="16">
        <f t="shared" si="1"/>
        <v>97</v>
      </c>
      <c r="J23" s="7">
        <f t="shared" si="2"/>
        <v>93.875</v>
      </c>
      <c r="L23" s="6"/>
    </row>
    <row r="24" spans="1:12" ht="15.6" x14ac:dyDescent="0.3">
      <c r="A24" s="5">
        <v>15</v>
      </c>
      <c r="B24" s="23" t="s">
        <v>102</v>
      </c>
      <c r="C24" s="7">
        <v>100</v>
      </c>
      <c r="D24" s="5">
        <v>100</v>
      </c>
      <c r="E24" s="5">
        <v>100</v>
      </c>
      <c r="F24" s="10">
        <v>100</v>
      </c>
      <c r="G24" s="9">
        <v>34</v>
      </c>
      <c r="H24" s="16">
        <f t="shared" si="0"/>
        <v>100</v>
      </c>
      <c r="I24" s="16">
        <f t="shared" si="1"/>
        <v>100</v>
      </c>
      <c r="J24" s="7">
        <f t="shared" si="2"/>
        <v>80.2</v>
      </c>
      <c r="L24" s="6"/>
    </row>
    <row r="25" spans="1:12" ht="15.6" x14ac:dyDescent="0.3">
      <c r="A25" s="5">
        <v>16</v>
      </c>
      <c r="B25" s="24" t="s">
        <v>149</v>
      </c>
      <c r="C25" s="7">
        <v>89</v>
      </c>
      <c r="D25" s="5">
        <v>96</v>
      </c>
      <c r="E25" s="5">
        <v>90</v>
      </c>
      <c r="F25" s="5">
        <v>98</v>
      </c>
      <c r="G25" s="9">
        <v>80</v>
      </c>
      <c r="H25" s="16">
        <f t="shared" si="0"/>
        <v>92.5</v>
      </c>
      <c r="I25" s="16">
        <f t="shared" si="1"/>
        <v>94</v>
      </c>
      <c r="J25" s="7">
        <f t="shared" si="2"/>
        <v>89.275000000000006</v>
      </c>
      <c r="L25" s="6"/>
    </row>
    <row r="26" spans="1:12" ht="15.6" x14ac:dyDescent="0.3">
      <c r="A26" s="5">
        <v>17</v>
      </c>
      <c r="B26" s="24" t="s">
        <v>150</v>
      </c>
      <c r="C26" s="7">
        <v>98</v>
      </c>
      <c r="D26" s="5">
        <v>100</v>
      </c>
      <c r="E26" s="5">
        <v>100</v>
      </c>
      <c r="F26" s="5">
        <v>100</v>
      </c>
      <c r="G26" s="9">
        <v>19</v>
      </c>
      <c r="H26" s="16">
        <f t="shared" si="0"/>
        <v>99</v>
      </c>
      <c r="I26" s="16">
        <f t="shared" si="1"/>
        <v>100</v>
      </c>
      <c r="J26" s="7">
        <f t="shared" si="2"/>
        <v>75.349999999999994</v>
      </c>
      <c r="L26" s="6"/>
    </row>
    <row r="27" spans="1:12" ht="15.6" x14ac:dyDescent="0.3">
      <c r="A27" s="5">
        <v>18</v>
      </c>
      <c r="B27" s="24" t="s">
        <v>151</v>
      </c>
      <c r="C27" s="7">
        <v>98</v>
      </c>
      <c r="D27" s="5">
        <v>98</v>
      </c>
      <c r="E27" s="5">
        <v>100</v>
      </c>
      <c r="F27" s="5">
        <v>98</v>
      </c>
      <c r="G27" s="9">
        <v>70</v>
      </c>
      <c r="H27" s="16">
        <f t="shared" si="0"/>
        <v>98</v>
      </c>
      <c r="I27" s="16">
        <f t="shared" si="1"/>
        <v>99</v>
      </c>
      <c r="J27" s="7">
        <f t="shared" si="2"/>
        <v>89.949999999999989</v>
      </c>
      <c r="L27" s="6"/>
    </row>
    <row r="28" spans="1:12" ht="15.6" x14ac:dyDescent="0.3">
      <c r="A28" s="5">
        <v>19</v>
      </c>
      <c r="B28" s="24" t="s">
        <v>152</v>
      </c>
      <c r="C28" s="7">
        <v>98</v>
      </c>
      <c r="D28" s="5">
        <v>90</v>
      </c>
      <c r="E28" s="5">
        <v>98</v>
      </c>
      <c r="F28" s="5">
        <v>100</v>
      </c>
      <c r="G28" s="9">
        <v>28</v>
      </c>
      <c r="H28" s="16">
        <f t="shared" si="0"/>
        <v>94</v>
      </c>
      <c r="I28" s="16">
        <f t="shared" si="1"/>
        <v>99</v>
      </c>
      <c r="J28" s="7">
        <f t="shared" si="2"/>
        <v>75.949999999999989</v>
      </c>
      <c r="L28" s="6"/>
    </row>
    <row r="29" spans="1:12" ht="15.6" x14ac:dyDescent="0.3">
      <c r="A29" s="5">
        <v>20</v>
      </c>
      <c r="B29" s="23" t="s">
        <v>153</v>
      </c>
      <c r="C29" s="7">
        <v>97</v>
      </c>
      <c r="D29" s="5">
        <v>98</v>
      </c>
      <c r="E29" s="5">
        <v>89</v>
      </c>
      <c r="F29" s="5">
        <v>97</v>
      </c>
      <c r="G29" s="9">
        <v>68</v>
      </c>
      <c r="H29" s="16">
        <f t="shared" si="0"/>
        <v>97.5</v>
      </c>
      <c r="I29" s="16">
        <f t="shared" si="1"/>
        <v>93</v>
      </c>
      <c r="J29" s="7">
        <f t="shared" si="2"/>
        <v>87.074999999999989</v>
      </c>
      <c r="L29" s="6"/>
    </row>
    <row r="30" spans="1:12" ht="15.6" x14ac:dyDescent="0.3">
      <c r="A30" s="5">
        <v>21</v>
      </c>
      <c r="B30" s="23" t="s">
        <v>154</v>
      </c>
      <c r="C30" s="7">
        <v>98</v>
      </c>
      <c r="D30" s="7">
        <v>87</v>
      </c>
      <c r="E30" s="5">
        <v>93</v>
      </c>
      <c r="F30" s="5">
        <v>94</v>
      </c>
      <c r="G30" s="9">
        <v>74</v>
      </c>
      <c r="H30" s="16">
        <f t="shared" si="0"/>
        <v>92.5</v>
      </c>
      <c r="I30" s="16">
        <f t="shared" si="1"/>
        <v>93.5</v>
      </c>
      <c r="J30" s="7">
        <f t="shared" si="2"/>
        <v>87.300000000000011</v>
      </c>
      <c r="L30" s="6"/>
    </row>
    <row r="31" spans="1:12" ht="15.6" x14ac:dyDescent="0.3">
      <c r="A31" s="5">
        <v>22</v>
      </c>
      <c r="B31" s="24" t="s">
        <v>155</v>
      </c>
      <c r="C31" s="7">
        <v>98</v>
      </c>
      <c r="D31" s="5">
        <v>98</v>
      </c>
      <c r="E31" s="5">
        <v>100</v>
      </c>
      <c r="F31" s="5">
        <v>100</v>
      </c>
      <c r="G31" s="9">
        <v>83</v>
      </c>
      <c r="H31" s="16">
        <f t="shared" si="0"/>
        <v>98</v>
      </c>
      <c r="I31" s="16">
        <f t="shared" si="1"/>
        <v>100</v>
      </c>
      <c r="J31" s="7">
        <f t="shared" si="2"/>
        <v>94.199999999999989</v>
      </c>
      <c r="L31" s="6"/>
    </row>
    <row r="32" spans="1:12" ht="15.6" x14ac:dyDescent="0.3">
      <c r="A32" s="5">
        <v>23</v>
      </c>
      <c r="B32" s="23" t="s">
        <v>156</v>
      </c>
      <c r="C32" s="7">
        <v>98</v>
      </c>
      <c r="D32" s="5">
        <v>97</v>
      </c>
      <c r="E32" s="5">
        <v>95</v>
      </c>
      <c r="F32" s="5">
        <v>93</v>
      </c>
      <c r="G32" s="9">
        <v>59</v>
      </c>
      <c r="H32" s="16">
        <f t="shared" si="0"/>
        <v>97.5</v>
      </c>
      <c r="I32" s="16">
        <f t="shared" si="1"/>
        <v>94</v>
      </c>
      <c r="J32" s="7">
        <f t="shared" si="2"/>
        <v>84.724999999999994</v>
      </c>
      <c r="L32" s="6"/>
    </row>
    <row r="33" spans="1:21" ht="15.6" x14ac:dyDescent="0.3">
      <c r="A33" s="5">
        <v>24</v>
      </c>
      <c r="B33" s="23" t="s">
        <v>157</v>
      </c>
      <c r="C33" s="7">
        <v>97</v>
      </c>
      <c r="D33" s="7">
        <v>100</v>
      </c>
      <c r="E33" s="5">
        <v>100</v>
      </c>
      <c r="F33" s="5">
        <v>98</v>
      </c>
      <c r="G33" s="9">
        <v>42</v>
      </c>
      <c r="H33" s="16">
        <f t="shared" si="0"/>
        <v>98.5</v>
      </c>
      <c r="I33" s="16">
        <f t="shared" si="1"/>
        <v>99</v>
      </c>
      <c r="J33" s="7">
        <f t="shared" si="2"/>
        <v>81.724999999999994</v>
      </c>
      <c r="L33" s="6"/>
    </row>
    <row r="34" spans="1:21" ht="15.6" x14ac:dyDescent="0.3">
      <c r="A34" s="5">
        <v>25</v>
      </c>
      <c r="B34" s="23" t="s">
        <v>158</v>
      </c>
      <c r="C34" s="7">
        <v>100</v>
      </c>
      <c r="D34" s="5">
        <v>98</v>
      </c>
      <c r="E34" s="5">
        <v>100</v>
      </c>
      <c r="F34" s="5">
        <v>100</v>
      </c>
      <c r="G34" s="9">
        <v>38</v>
      </c>
      <c r="H34" s="16">
        <f t="shared" si="0"/>
        <v>99</v>
      </c>
      <c r="I34" s="16">
        <f t="shared" si="1"/>
        <v>100</v>
      </c>
      <c r="J34" s="7">
        <f t="shared" si="2"/>
        <v>81.05</v>
      </c>
      <c r="L34" s="6"/>
    </row>
    <row r="35" spans="1:21" ht="15.6" x14ac:dyDescent="0.3">
      <c r="A35" s="5">
        <v>26</v>
      </c>
      <c r="B35" s="24" t="s">
        <v>159</v>
      </c>
      <c r="C35" s="7">
        <v>100</v>
      </c>
      <c r="D35" s="5">
        <v>100</v>
      </c>
      <c r="E35" s="5">
        <v>99</v>
      </c>
      <c r="F35" s="10">
        <v>100</v>
      </c>
      <c r="G35" s="9">
        <v>82</v>
      </c>
      <c r="H35" s="16">
        <f t="shared" si="0"/>
        <v>100</v>
      </c>
      <c r="I35" s="16">
        <f t="shared" si="1"/>
        <v>99.5</v>
      </c>
      <c r="J35" s="7">
        <f t="shared" si="2"/>
        <v>94.425000000000011</v>
      </c>
      <c r="L35" s="6"/>
    </row>
    <row r="36" spans="1:21" ht="15.6" x14ac:dyDescent="0.3">
      <c r="A36" s="5">
        <v>27</v>
      </c>
      <c r="B36" s="24" t="s">
        <v>160</v>
      </c>
      <c r="C36" s="7">
        <v>89</v>
      </c>
      <c r="D36" s="5">
        <v>98</v>
      </c>
      <c r="E36" s="5">
        <v>90</v>
      </c>
      <c r="F36" s="5">
        <v>98</v>
      </c>
      <c r="G36" s="9">
        <v>52</v>
      </c>
      <c r="H36" s="16">
        <f t="shared" si="0"/>
        <v>93.5</v>
      </c>
      <c r="I36" s="16">
        <f t="shared" si="1"/>
        <v>94</v>
      </c>
      <c r="J36" s="7">
        <f t="shared" si="2"/>
        <v>81.224999999999994</v>
      </c>
      <c r="L36" s="6"/>
    </row>
    <row r="37" spans="1:21" ht="15.6" x14ac:dyDescent="0.3">
      <c r="A37" s="5">
        <v>28</v>
      </c>
      <c r="B37" s="23" t="s">
        <v>161</v>
      </c>
      <c r="C37" s="7">
        <v>98</v>
      </c>
      <c r="D37" s="5">
        <v>100</v>
      </c>
      <c r="E37" s="5">
        <v>100</v>
      </c>
      <c r="F37" s="5">
        <v>100</v>
      </c>
      <c r="G37" s="9">
        <v>59</v>
      </c>
      <c r="H37" s="16">
        <f t="shared" si="0"/>
        <v>99</v>
      </c>
      <c r="I37" s="16">
        <f t="shared" si="1"/>
        <v>100</v>
      </c>
      <c r="J37" s="7">
        <f t="shared" si="2"/>
        <v>87.35</v>
      </c>
      <c r="L37" s="6"/>
    </row>
    <row r="38" spans="1:21" ht="15.6" x14ac:dyDescent="0.3">
      <c r="A38" s="5">
        <v>29</v>
      </c>
      <c r="B38" s="23" t="s">
        <v>103</v>
      </c>
      <c r="C38" s="7">
        <v>100</v>
      </c>
      <c r="D38" s="5">
        <v>98</v>
      </c>
      <c r="E38" s="5">
        <v>97</v>
      </c>
      <c r="F38" s="5">
        <v>100</v>
      </c>
      <c r="G38" s="9">
        <v>60</v>
      </c>
      <c r="H38" s="16">
        <f t="shared" si="0"/>
        <v>99</v>
      </c>
      <c r="I38" s="16">
        <f t="shared" si="1"/>
        <v>98.5</v>
      </c>
      <c r="J38" s="7">
        <f t="shared" si="2"/>
        <v>87.125</v>
      </c>
      <c r="L38" s="6"/>
    </row>
    <row r="39" spans="1:21" ht="15.6" x14ac:dyDescent="0.3">
      <c r="A39" s="5">
        <v>30</v>
      </c>
      <c r="B39" s="24" t="s">
        <v>162</v>
      </c>
      <c r="C39" s="7">
        <v>89</v>
      </c>
      <c r="D39" s="5">
        <v>100</v>
      </c>
      <c r="E39" s="5">
        <v>93</v>
      </c>
      <c r="F39" s="5">
        <v>100</v>
      </c>
      <c r="G39" s="9">
        <v>76</v>
      </c>
      <c r="H39" s="16">
        <f t="shared" si="0"/>
        <v>94.5</v>
      </c>
      <c r="I39" s="16">
        <f t="shared" si="1"/>
        <v>96.5</v>
      </c>
      <c r="J39" s="7">
        <f t="shared" si="2"/>
        <v>89.65</v>
      </c>
      <c r="K39" s="3"/>
      <c r="L39" s="3"/>
      <c r="R39" s="8"/>
      <c r="U39" s="8"/>
    </row>
    <row r="40" spans="1:21" ht="15.6" x14ac:dyDescent="0.3">
      <c r="A40" s="5">
        <v>31</v>
      </c>
      <c r="B40" s="23" t="s">
        <v>163</v>
      </c>
      <c r="C40" s="7">
        <v>97</v>
      </c>
      <c r="D40" s="5">
        <v>98</v>
      </c>
      <c r="E40" s="5">
        <v>100</v>
      </c>
      <c r="F40" s="5">
        <v>94</v>
      </c>
      <c r="G40" s="9">
        <v>88</v>
      </c>
      <c r="H40" s="16">
        <f t="shared" si="0"/>
        <v>97.5</v>
      </c>
      <c r="I40" s="16">
        <f t="shared" si="1"/>
        <v>97</v>
      </c>
      <c r="J40" s="7">
        <f t="shared" si="2"/>
        <v>94.474999999999994</v>
      </c>
      <c r="K40" s="3"/>
      <c r="L40" s="3"/>
    </row>
    <row r="41" spans="1:21" ht="15.6" x14ac:dyDescent="0.3">
      <c r="A41" s="5">
        <v>32</v>
      </c>
      <c r="B41" s="24" t="s">
        <v>164</v>
      </c>
      <c r="C41" s="7">
        <v>98</v>
      </c>
      <c r="D41" s="7">
        <v>95</v>
      </c>
      <c r="E41" s="5">
        <v>98</v>
      </c>
      <c r="F41" s="5">
        <v>94</v>
      </c>
      <c r="G41" s="4">
        <v>78</v>
      </c>
      <c r="H41" s="16">
        <f t="shared" si="0"/>
        <v>96.5</v>
      </c>
      <c r="I41" s="16">
        <f t="shared" si="1"/>
        <v>96</v>
      </c>
      <c r="J41" s="7">
        <f t="shared" si="2"/>
        <v>90.775000000000006</v>
      </c>
      <c r="K41" s="3"/>
      <c r="L41" s="3"/>
    </row>
    <row r="42" spans="1:21" x14ac:dyDescent="0.3">
      <c r="A42" s="3"/>
      <c r="B42" s="3"/>
      <c r="C42" s="3"/>
      <c r="D42" s="3"/>
      <c r="E42" s="3"/>
      <c r="F42" s="3"/>
      <c r="G42" s="3"/>
      <c r="I42" s="3"/>
      <c r="J42" s="3"/>
      <c r="K42" s="3"/>
      <c r="L42" s="3"/>
    </row>
    <row r="44" spans="1:21" x14ac:dyDescent="0.3">
      <c r="H44" s="2" t="s">
        <v>32</v>
      </c>
    </row>
    <row r="45" spans="1:21" x14ac:dyDescent="0.3">
      <c r="H45" s="2" t="s">
        <v>11</v>
      </c>
    </row>
    <row r="46" spans="1:21" x14ac:dyDescent="0.3">
      <c r="H46" s="2"/>
    </row>
    <row r="47" spans="1:21" x14ac:dyDescent="0.3">
      <c r="H47" s="2"/>
    </row>
    <row r="48" spans="1:21" x14ac:dyDescent="0.3">
      <c r="H48" s="2" t="s">
        <v>33</v>
      </c>
    </row>
  </sheetData>
  <mergeCells count="7">
    <mergeCell ref="E8:F8"/>
    <mergeCell ref="H8:I8"/>
    <mergeCell ref="A8:A9"/>
    <mergeCell ref="B8:B9"/>
    <mergeCell ref="A1:J1"/>
    <mergeCell ref="A2:J2"/>
    <mergeCell ref="C8:D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3F1F-227F-45D6-8388-938AC0F8C9AB}">
  <dimension ref="A1:U47"/>
  <sheetViews>
    <sheetView zoomScale="85" zoomScaleNormal="56" workbookViewId="0">
      <selection activeCell="E40" sqref="E40"/>
    </sheetView>
  </sheetViews>
  <sheetFormatPr defaultRowHeight="14.4" x14ac:dyDescent="0.3"/>
  <cols>
    <col min="2" max="2" width="40.21875" customWidth="1"/>
    <col min="7" max="7" width="14" customWidth="1"/>
    <col min="8" max="8" width="10.77734375" customWidth="1"/>
    <col min="9" max="9" width="12.88671875" customWidth="1"/>
    <col min="10" max="10" width="38.33203125" customWidth="1"/>
    <col min="17" max="17" width="11.5546875" customWidth="1"/>
    <col min="19" max="19" width="28.33203125" customWidth="1"/>
  </cols>
  <sheetData>
    <row r="1" spans="1:12" ht="17.399999999999999" x14ac:dyDescent="0.3">
      <c r="A1" s="25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3"/>
      <c r="L1" s="3"/>
    </row>
    <row r="2" spans="1:12" ht="17.399999999999999" x14ac:dyDescent="0.3">
      <c r="A2" s="25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3"/>
      <c r="L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2" t="s">
        <v>0</v>
      </c>
      <c r="B4" s="3"/>
      <c r="C4" s="2" t="s">
        <v>34</v>
      </c>
      <c r="D4" s="3"/>
      <c r="E4" s="3"/>
      <c r="F4" s="3"/>
      <c r="G4" s="3"/>
      <c r="H4" s="3"/>
      <c r="I4" s="3"/>
      <c r="J4" s="3"/>
      <c r="K4" s="3"/>
      <c r="L4" s="3"/>
    </row>
    <row r="5" spans="1:12" x14ac:dyDescent="0.3">
      <c r="A5" s="2" t="s">
        <v>1</v>
      </c>
      <c r="B5" s="3"/>
      <c r="C5" s="2" t="s">
        <v>27</v>
      </c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s="2" t="s">
        <v>13</v>
      </c>
      <c r="B6" s="3"/>
      <c r="C6" s="2" t="s">
        <v>28</v>
      </c>
      <c r="D6" s="3"/>
      <c r="E6" s="3"/>
      <c r="F6" s="3"/>
      <c r="G6" s="3"/>
      <c r="H6" s="3"/>
      <c r="I6" s="3"/>
      <c r="J6" s="3"/>
      <c r="K6" s="3"/>
      <c r="L6" s="3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45" customHeight="1" x14ac:dyDescent="0.3">
      <c r="A8" s="28" t="s">
        <v>2</v>
      </c>
      <c r="B8" s="29" t="s">
        <v>3</v>
      </c>
      <c r="C8" s="30" t="s">
        <v>22</v>
      </c>
      <c r="D8" s="30"/>
      <c r="E8" s="31" t="s">
        <v>23</v>
      </c>
      <c r="F8" s="31"/>
      <c r="G8" s="19" t="s">
        <v>7</v>
      </c>
      <c r="H8" s="26" t="s">
        <v>21</v>
      </c>
      <c r="I8" s="27"/>
      <c r="J8" s="14" t="s">
        <v>8</v>
      </c>
      <c r="L8" s="1" t="s">
        <v>14</v>
      </c>
    </row>
    <row r="9" spans="1:12" ht="14.55" customHeight="1" x14ac:dyDescent="0.3">
      <c r="A9" s="28"/>
      <c r="B9" s="29"/>
      <c r="C9" s="11" t="s">
        <v>4</v>
      </c>
      <c r="D9" s="11" t="s">
        <v>5</v>
      </c>
      <c r="E9" s="12" t="s">
        <v>4</v>
      </c>
      <c r="F9" s="12" t="s">
        <v>6</v>
      </c>
      <c r="G9" s="19" t="s">
        <v>20</v>
      </c>
      <c r="H9" s="13" t="s">
        <v>24</v>
      </c>
      <c r="I9" s="13" t="s">
        <v>25</v>
      </c>
      <c r="J9" s="15"/>
      <c r="L9" s="2" t="s">
        <v>9</v>
      </c>
    </row>
    <row r="10" spans="1:12" ht="15.6" x14ac:dyDescent="0.3">
      <c r="A10" s="5">
        <v>1</v>
      </c>
      <c r="B10" s="20" t="s">
        <v>104</v>
      </c>
      <c r="C10" s="7">
        <v>96</v>
      </c>
      <c r="D10" s="5">
        <v>87</v>
      </c>
      <c r="E10" s="17">
        <v>86</v>
      </c>
      <c r="F10" s="17">
        <v>60</v>
      </c>
      <c r="G10" s="18">
        <v>24</v>
      </c>
      <c r="H10" s="16">
        <f>AVERAGE(C10:D10)</f>
        <v>91.5</v>
      </c>
      <c r="I10" s="16">
        <f>AVERAGE(E10:F10)</f>
        <v>73</v>
      </c>
      <c r="J10" s="7">
        <f>(G10*30/100)+(H10*35/100)+(I10*35/100)</f>
        <v>64.775000000000006</v>
      </c>
      <c r="L10" s="2" t="s">
        <v>15</v>
      </c>
    </row>
    <row r="11" spans="1:12" ht="15.6" x14ac:dyDescent="0.3">
      <c r="A11" s="5">
        <v>2</v>
      </c>
      <c r="B11" s="20" t="s">
        <v>105</v>
      </c>
      <c r="C11" s="7">
        <v>90</v>
      </c>
      <c r="D11" s="7">
        <v>95</v>
      </c>
      <c r="E11" s="5">
        <v>98</v>
      </c>
      <c r="F11" s="5">
        <v>94</v>
      </c>
      <c r="G11" s="9">
        <v>29</v>
      </c>
      <c r="H11" s="16">
        <f t="shared" ref="H11:H40" si="0">AVERAGE(C11:D11)</f>
        <v>92.5</v>
      </c>
      <c r="I11" s="16">
        <f t="shared" ref="I11:I40" si="1">AVERAGE(E11:F11)</f>
        <v>96</v>
      </c>
      <c r="J11" s="7">
        <f t="shared" ref="J11:J40" si="2">(G11*30/100)+(H11*35/100)+(I11*35/100)</f>
        <v>74.675000000000011</v>
      </c>
      <c r="L11" s="2" t="s">
        <v>17</v>
      </c>
    </row>
    <row r="12" spans="1:12" ht="15.6" x14ac:dyDescent="0.3">
      <c r="A12" s="5">
        <v>3</v>
      </c>
      <c r="B12" s="20" t="s">
        <v>106</v>
      </c>
      <c r="C12" s="7">
        <v>100</v>
      </c>
      <c r="D12" s="5">
        <v>95</v>
      </c>
      <c r="E12" s="5">
        <v>97</v>
      </c>
      <c r="F12" s="5">
        <v>98</v>
      </c>
      <c r="G12" s="9">
        <v>71</v>
      </c>
      <c r="H12" s="16">
        <f t="shared" si="0"/>
        <v>97.5</v>
      </c>
      <c r="I12" s="16">
        <f t="shared" si="1"/>
        <v>97.5</v>
      </c>
      <c r="J12" s="7">
        <f t="shared" si="2"/>
        <v>89.55</v>
      </c>
      <c r="L12" s="2" t="s">
        <v>18</v>
      </c>
    </row>
    <row r="13" spans="1:12" ht="15.6" x14ac:dyDescent="0.3">
      <c r="A13" s="5">
        <v>4</v>
      </c>
      <c r="B13" s="20" t="s">
        <v>107</v>
      </c>
      <c r="C13" s="7">
        <v>80</v>
      </c>
      <c r="D13" s="5">
        <v>94</v>
      </c>
      <c r="E13" s="5">
        <v>93</v>
      </c>
      <c r="F13" s="5">
        <v>94</v>
      </c>
      <c r="G13" s="9">
        <v>71</v>
      </c>
      <c r="H13" s="16">
        <f t="shared" si="0"/>
        <v>87</v>
      </c>
      <c r="I13" s="16">
        <f t="shared" si="1"/>
        <v>93.5</v>
      </c>
      <c r="J13" s="7">
        <f t="shared" si="2"/>
        <v>84.474999999999994</v>
      </c>
      <c r="L13" s="2" t="s">
        <v>19</v>
      </c>
    </row>
    <row r="14" spans="1:12" ht="15.6" x14ac:dyDescent="0.3">
      <c r="A14" s="5">
        <v>5</v>
      </c>
      <c r="B14" s="20" t="s">
        <v>108</v>
      </c>
      <c r="C14" s="7">
        <v>60</v>
      </c>
      <c r="D14" s="7">
        <v>86</v>
      </c>
      <c r="E14" s="5">
        <v>70</v>
      </c>
      <c r="F14" s="5">
        <v>93</v>
      </c>
      <c r="G14" s="9">
        <v>63</v>
      </c>
      <c r="H14" s="16">
        <f t="shared" si="0"/>
        <v>73</v>
      </c>
      <c r="I14" s="16">
        <f t="shared" si="1"/>
        <v>81.5</v>
      </c>
      <c r="J14" s="7">
        <f t="shared" si="2"/>
        <v>72.974999999999994</v>
      </c>
      <c r="L14" s="2" t="s">
        <v>10</v>
      </c>
    </row>
    <row r="15" spans="1:12" ht="15.6" x14ac:dyDescent="0.3">
      <c r="A15" s="5">
        <v>6</v>
      </c>
      <c r="B15" s="20" t="s">
        <v>109</v>
      </c>
      <c r="C15" s="7">
        <v>100</v>
      </c>
      <c r="D15" s="5">
        <v>100</v>
      </c>
      <c r="E15" s="5">
        <v>96</v>
      </c>
      <c r="F15" s="5">
        <v>97</v>
      </c>
      <c r="G15" s="9">
        <v>80</v>
      </c>
      <c r="H15" s="16">
        <f t="shared" si="0"/>
        <v>100</v>
      </c>
      <c r="I15" s="16">
        <f t="shared" si="1"/>
        <v>96.5</v>
      </c>
      <c r="J15" s="7">
        <f t="shared" si="2"/>
        <v>92.775000000000006</v>
      </c>
      <c r="L15" s="6"/>
    </row>
    <row r="16" spans="1:12" ht="15.6" x14ac:dyDescent="0.3">
      <c r="A16" s="5">
        <v>7</v>
      </c>
      <c r="B16" s="20" t="s">
        <v>110</v>
      </c>
      <c r="C16" s="7">
        <v>95</v>
      </c>
      <c r="D16" s="5">
        <v>100</v>
      </c>
      <c r="E16" s="5">
        <v>97</v>
      </c>
      <c r="F16" s="5">
        <v>100</v>
      </c>
      <c r="G16" s="9">
        <v>28</v>
      </c>
      <c r="H16" s="16">
        <f t="shared" si="0"/>
        <v>97.5</v>
      </c>
      <c r="I16" s="16">
        <f t="shared" si="1"/>
        <v>98.5</v>
      </c>
      <c r="J16" s="7">
        <f t="shared" si="2"/>
        <v>77</v>
      </c>
      <c r="L16" s="6"/>
    </row>
    <row r="17" spans="1:12" ht="15.6" x14ac:dyDescent="0.3">
      <c r="A17" s="5">
        <v>8</v>
      </c>
      <c r="B17" s="20" t="s">
        <v>111</v>
      </c>
      <c r="C17" s="7">
        <v>78</v>
      </c>
      <c r="D17" s="7">
        <v>60</v>
      </c>
      <c r="E17" s="5">
        <v>89</v>
      </c>
      <c r="F17" s="5">
        <v>95</v>
      </c>
      <c r="G17" s="9">
        <v>23</v>
      </c>
      <c r="H17" s="16">
        <f t="shared" si="0"/>
        <v>69</v>
      </c>
      <c r="I17" s="16">
        <f t="shared" si="1"/>
        <v>92</v>
      </c>
      <c r="J17" s="7">
        <f t="shared" si="2"/>
        <v>63.25</v>
      </c>
      <c r="L17" s="6"/>
    </row>
    <row r="18" spans="1:12" ht="15.6" x14ac:dyDescent="0.3">
      <c r="A18" s="5">
        <v>9</v>
      </c>
      <c r="B18" s="20" t="s">
        <v>112</v>
      </c>
      <c r="C18" s="7">
        <v>100</v>
      </c>
      <c r="D18" s="7">
        <v>94</v>
      </c>
      <c r="E18" s="5">
        <v>96</v>
      </c>
      <c r="F18" s="5">
        <v>90</v>
      </c>
      <c r="G18" s="9">
        <v>26</v>
      </c>
      <c r="H18" s="16">
        <f t="shared" si="0"/>
        <v>97</v>
      </c>
      <c r="I18" s="16">
        <f t="shared" si="1"/>
        <v>93</v>
      </c>
      <c r="J18" s="7">
        <f t="shared" si="2"/>
        <v>74.3</v>
      </c>
      <c r="L18" s="6"/>
    </row>
    <row r="19" spans="1:12" ht="15.6" x14ac:dyDescent="0.3">
      <c r="A19" s="5">
        <v>10</v>
      </c>
      <c r="B19" s="20" t="s">
        <v>113</v>
      </c>
      <c r="C19" s="7">
        <v>89</v>
      </c>
      <c r="D19" s="5">
        <v>97</v>
      </c>
      <c r="E19" s="5">
        <v>89</v>
      </c>
      <c r="F19" s="5">
        <v>95</v>
      </c>
      <c r="G19" s="9">
        <v>48</v>
      </c>
      <c r="H19" s="16">
        <f t="shared" si="0"/>
        <v>93</v>
      </c>
      <c r="I19" s="16">
        <f t="shared" si="1"/>
        <v>92</v>
      </c>
      <c r="J19" s="7">
        <f t="shared" si="2"/>
        <v>79.150000000000006</v>
      </c>
      <c r="L19" s="6"/>
    </row>
    <row r="20" spans="1:12" ht="15.6" x14ac:dyDescent="0.3">
      <c r="A20" s="5">
        <v>11</v>
      </c>
      <c r="B20" s="20" t="s">
        <v>114</v>
      </c>
      <c r="C20" s="7">
        <v>95</v>
      </c>
      <c r="D20" s="5">
        <v>80</v>
      </c>
      <c r="E20" s="5">
        <v>70</v>
      </c>
      <c r="F20" s="5">
        <v>80</v>
      </c>
      <c r="G20" s="9">
        <v>34</v>
      </c>
      <c r="H20" s="16">
        <f t="shared" si="0"/>
        <v>87.5</v>
      </c>
      <c r="I20" s="16">
        <f t="shared" si="1"/>
        <v>75</v>
      </c>
      <c r="J20" s="7">
        <f t="shared" si="2"/>
        <v>67.075000000000003</v>
      </c>
      <c r="L20" s="6"/>
    </row>
    <row r="21" spans="1:12" ht="15.6" x14ac:dyDescent="0.3">
      <c r="A21" s="5">
        <v>12</v>
      </c>
      <c r="B21" s="20" t="s">
        <v>115</v>
      </c>
      <c r="C21" s="7">
        <v>98</v>
      </c>
      <c r="D21" s="5">
        <v>100</v>
      </c>
      <c r="E21" s="5">
        <v>100</v>
      </c>
      <c r="F21" s="5">
        <v>100</v>
      </c>
      <c r="G21" s="9">
        <v>51</v>
      </c>
      <c r="H21" s="16">
        <f t="shared" si="0"/>
        <v>99</v>
      </c>
      <c r="I21" s="16">
        <f t="shared" si="1"/>
        <v>100</v>
      </c>
      <c r="J21" s="7">
        <f t="shared" si="2"/>
        <v>84.95</v>
      </c>
      <c r="L21" s="6"/>
    </row>
    <row r="22" spans="1:12" ht="15.6" x14ac:dyDescent="0.3">
      <c r="A22" s="5">
        <v>13</v>
      </c>
      <c r="B22" s="20" t="s">
        <v>116</v>
      </c>
      <c r="C22" s="7">
        <v>97</v>
      </c>
      <c r="D22" s="7">
        <v>95</v>
      </c>
      <c r="E22" s="5">
        <v>90</v>
      </c>
      <c r="F22" s="5">
        <v>94</v>
      </c>
      <c r="G22" s="9">
        <v>66</v>
      </c>
      <c r="H22" s="16">
        <f t="shared" si="0"/>
        <v>96</v>
      </c>
      <c r="I22" s="16">
        <f t="shared" si="1"/>
        <v>92</v>
      </c>
      <c r="J22" s="7">
        <f t="shared" si="2"/>
        <v>85.600000000000009</v>
      </c>
      <c r="L22" s="6"/>
    </row>
    <row r="23" spans="1:12" ht="15.6" x14ac:dyDescent="0.3">
      <c r="A23" s="5">
        <v>14</v>
      </c>
      <c r="B23" s="20" t="s">
        <v>117</v>
      </c>
      <c r="C23" s="7">
        <v>80</v>
      </c>
      <c r="D23" s="5">
        <v>80</v>
      </c>
      <c r="E23" s="5">
        <v>100</v>
      </c>
      <c r="F23" s="5">
        <v>94</v>
      </c>
      <c r="G23" s="9">
        <v>63</v>
      </c>
      <c r="H23" s="16">
        <f t="shared" si="0"/>
        <v>80</v>
      </c>
      <c r="I23" s="16">
        <f t="shared" si="1"/>
        <v>97</v>
      </c>
      <c r="J23" s="7">
        <f t="shared" si="2"/>
        <v>80.849999999999994</v>
      </c>
      <c r="L23" s="6"/>
    </row>
    <row r="24" spans="1:12" ht="15.6" x14ac:dyDescent="0.3">
      <c r="A24" s="5">
        <v>16</v>
      </c>
      <c r="B24" s="20" t="s">
        <v>118</v>
      </c>
      <c r="C24" s="7">
        <v>89</v>
      </c>
      <c r="D24" s="5">
        <v>96</v>
      </c>
      <c r="E24" s="5">
        <v>90</v>
      </c>
      <c r="F24" s="5">
        <v>87</v>
      </c>
      <c r="G24" s="9">
        <v>68</v>
      </c>
      <c r="H24" s="16">
        <f t="shared" si="0"/>
        <v>92.5</v>
      </c>
      <c r="I24" s="16">
        <f t="shared" si="1"/>
        <v>88.5</v>
      </c>
      <c r="J24" s="7">
        <f t="shared" si="2"/>
        <v>83.75</v>
      </c>
      <c r="L24" s="6"/>
    </row>
    <row r="25" spans="1:12" ht="15.6" x14ac:dyDescent="0.3">
      <c r="A25" s="5">
        <v>17</v>
      </c>
      <c r="B25" s="20" t="s">
        <v>119</v>
      </c>
      <c r="C25" s="7">
        <v>80</v>
      </c>
      <c r="D25" s="5">
        <v>80</v>
      </c>
      <c r="E25" s="5">
        <v>78</v>
      </c>
      <c r="F25" s="5">
        <v>87</v>
      </c>
      <c r="G25" s="9">
        <v>65</v>
      </c>
      <c r="H25" s="16">
        <f t="shared" si="0"/>
        <v>80</v>
      </c>
      <c r="I25" s="16">
        <f t="shared" si="1"/>
        <v>82.5</v>
      </c>
      <c r="J25" s="7">
        <f t="shared" si="2"/>
        <v>76.375</v>
      </c>
      <c r="L25" s="6"/>
    </row>
    <row r="26" spans="1:12" ht="15.6" x14ac:dyDescent="0.3">
      <c r="A26" s="5">
        <v>18</v>
      </c>
      <c r="B26" s="20" t="s">
        <v>120</v>
      </c>
      <c r="C26" s="7">
        <v>80</v>
      </c>
      <c r="D26" s="5">
        <v>78</v>
      </c>
      <c r="E26" s="5">
        <v>80</v>
      </c>
      <c r="F26" s="5">
        <v>98</v>
      </c>
      <c r="G26" s="9">
        <v>52</v>
      </c>
      <c r="H26" s="16">
        <f t="shared" si="0"/>
        <v>79</v>
      </c>
      <c r="I26" s="16">
        <f t="shared" si="1"/>
        <v>89</v>
      </c>
      <c r="J26" s="7">
        <f t="shared" si="2"/>
        <v>74.400000000000006</v>
      </c>
      <c r="L26" s="6"/>
    </row>
    <row r="27" spans="1:12" ht="15.6" x14ac:dyDescent="0.3">
      <c r="A27" s="5">
        <v>19</v>
      </c>
      <c r="B27" s="20" t="s">
        <v>121</v>
      </c>
      <c r="C27" s="7">
        <v>80</v>
      </c>
      <c r="D27" s="5">
        <v>77</v>
      </c>
      <c r="E27" s="5">
        <v>60</v>
      </c>
      <c r="F27" s="5">
        <v>100</v>
      </c>
      <c r="G27" s="9">
        <v>25</v>
      </c>
      <c r="H27" s="16">
        <f t="shared" si="0"/>
        <v>78.5</v>
      </c>
      <c r="I27" s="16">
        <f t="shared" si="1"/>
        <v>80</v>
      </c>
      <c r="J27" s="7">
        <f t="shared" si="2"/>
        <v>62.975000000000001</v>
      </c>
      <c r="L27" s="6"/>
    </row>
    <row r="28" spans="1:12" ht="15.6" x14ac:dyDescent="0.3">
      <c r="A28" s="5">
        <v>20</v>
      </c>
      <c r="B28" s="20" t="s">
        <v>122</v>
      </c>
      <c r="C28" s="7">
        <v>80</v>
      </c>
      <c r="D28" s="5">
        <v>86</v>
      </c>
      <c r="E28" s="5">
        <v>87</v>
      </c>
      <c r="F28" s="5">
        <v>60</v>
      </c>
      <c r="G28" s="9">
        <v>29</v>
      </c>
      <c r="H28" s="16">
        <f t="shared" si="0"/>
        <v>83</v>
      </c>
      <c r="I28" s="16">
        <f t="shared" si="1"/>
        <v>73.5</v>
      </c>
      <c r="J28" s="7">
        <f t="shared" si="2"/>
        <v>63.475000000000001</v>
      </c>
      <c r="L28" s="6"/>
    </row>
    <row r="29" spans="1:12" ht="15.6" x14ac:dyDescent="0.3">
      <c r="A29" s="5">
        <v>21</v>
      </c>
      <c r="B29" s="20" t="s">
        <v>123</v>
      </c>
      <c r="C29" s="7">
        <v>98</v>
      </c>
      <c r="D29" s="7">
        <v>96</v>
      </c>
      <c r="E29" s="5">
        <v>93</v>
      </c>
      <c r="F29" s="5">
        <v>94</v>
      </c>
      <c r="G29" s="9">
        <v>96</v>
      </c>
      <c r="H29" s="16">
        <f t="shared" si="0"/>
        <v>97</v>
      </c>
      <c r="I29" s="16">
        <f t="shared" si="1"/>
        <v>93.5</v>
      </c>
      <c r="J29" s="7">
        <f t="shared" si="2"/>
        <v>95.474999999999994</v>
      </c>
      <c r="L29" s="6"/>
    </row>
    <row r="30" spans="1:12" ht="15.6" x14ac:dyDescent="0.3">
      <c r="A30" s="5">
        <v>22</v>
      </c>
      <c r="B30" s="20" t="s">
        <v>124</v>
      </c>
      <c r="C30" s="7">
        <v>98</v>
      </c>
      <c r="D30" s="5">
        <v>98</v>
      </c>
      <c r="E30" s="5">
        <v>80</v>
      </c>
      <c r="F30" s="5">
        <v>80</v>
      </c>
      <c r="G30" s="9">
        <v>65</v>
      </c>
      <c r="H30" s="16">
        <f t="shared" si="0"/>
        <v>98</v>
      </c>
      <c r="I30" s="16">
        <f t="shared" si="1"/>
        <v>80</v>
      </c>
      <c r="J30" s="7">
        <f t="shared" si="2"/>
        <v>81.8</v>
      </c>
      <c r="L30" s="6"/>
    </row>
    <row r="31" spans="1:12" ht="15.6" x14ac:dyDescent="0.3">
      <c r="A31" s="5">
        <v>23</v>
      </c>
      <c r="B31" s="20" t="s">
        <v>125</v>
      </c>
      <c r="C31" s="7">
        <v>98</v>
      </c>
      <c r="D31" s="5">
        <v>97</v>
      </c>
      <c r="E31" s="5">
        <v>95</v>
      </c>
      <c r="F31" s="5">
        <v>93</v>
      </c>
      <c r="G31" s="9">
        <v>52</v>
      </c>
      <c r="H31" s="16">
        <f t="shared" si="0"/>
        <v>97.5</v>
      </c>
      <c r="I31" s="16">
        <f t="shared" si="1"/>
        <v>94</v>
      </c>
      <c r="J31" s="7">
        <f t="shared" si="2"/>
        <v>82.625</v>
      </c>
      <c r="L31" s="6"/>
    </row>
    <row r="32" spans="1:12" ht="15.6" x14ac:dyDescent="0.3">
      <c r="A32" s="5">
        <v>24</v>
      </c>
      <c r="B32" s="20" t="s">
        <v>126</v>
      </c>
      <c r="C32" s="7">
        <v>97</v>
      </c>
      <c r="D32" s="7">
        <v>80</v>
      </c>
      <c r="E32" s="5">
        <v>100</v>
      </c>
      <c r="F32" s="5">
        <v>98</v>
      </c>
      <c r="G32" s="9">
        <v>57</v>
      </c>
      <c r="H32" s="16">
        <f t="shared" si="0"/>
        <v>88.5</v>
      </c>
      <c r="I32" s="16">
        <f t="shared" si="1"/>
        <v>99</v>
      </c>
      <c r="J32" s="7">
        <f t="shared" si="2"/>
        <v>82.724999999999994</v>
      </c>
      <c r="L32" s="6"/>
    </row>
    <row r="33" spans="1:21" ht="15.6" x14ac:dyDescent="0.3">
      <c r="A33" s="5">
        <v>25</v>
      </c>
      <c r="B33" s="20" t="s">
        <v>127</v>
      </c>
      <c r="C33" s="7">
        <v>100</v>
      </c>
      <c r="D33" s="5">
        <v>98</v>
      </c>
      <c r="E33" s="5">
        <v>78</v>
      </c>
      <c r="F33" s="5">
        <v>78</v>
      </c>
      <c r="G33" s="9">
        <v>62</v>
      </c>
      <c r="H33" s="16">
        <f t="shared" si="0"/>
        <v>99</v>
      </c>
      <c r="I33" s="16">
        <f t="shared" si="1"/>
        <v>78</v>
      </c>
      <c r="J33" s="7">
        <f t="shared" si="2"/>
        <v>80.55</v>
      </c>
      <c r="L33" s="6"/>
    </row>
    <row r="34" spans="1:21" ht="15.6" x14ac:dyDescent="0.3">
      <c r="A34" s="5">
        <v>26</v>
      </c>
      <c r="B34" s="20" t="s">
        <v>128</v>
      </c>
      <c r="C34" s="7">
        <v>100</v>
      </c>
      <c r="D34" s="5">
        <v>100</v>
      </c>
      <c r="E34" s="5">
        <v>99</v>
      </c>
      <c r="F34" s="10">
        <v>100</v>
      </c>
      <c r="G34" s="9">
        <v>50</v>
      </c>
      <c r="H34" s="16">
        <f t="shared" si="0"/>
        <v>100</v>
      </c>
      <c r="I34" s="16">
        <f t="shared" si="1"/>
        <v>99.5</v>
      </c>
      <c r="J34" s="7">
        <f t="shared" si="2"/>
        <v>84.825000000000003</v>
      </c>
      <c r="L34" s="6"/>
    </row>
    <row r="35" spans="1:21" ht="15.6" x14ac:dyDescent="0.3">
      <c r="A35" s="5">
        <v>27</v>
      </c>
      <c r="B35" s="20" t="s">
        <v>129</v>
      </c>
      <c r="C35" s="7">
        <v>89</v>
      </c>
      <c r="D35" s="5">
        <v>87</v>
      </c>
      <c r="E35" s="5">
        <v>98</v>
      </c>
      <c r="F35" s="5">
        <v>80</v>
      </c>
      <c r="G35" s="9">
        <v>59</v>
      </c>
      <c r="H35" s="16">
        <f t="shared" si="0"/>
        <v>88</v>
      </c>
      <c r="I35" s="16">
        <f t="shared" si="1"/>
        <v>89</v>
      </c>
      <c r="J35" s="7">
        <f t="shared" si="2"/>
        <v>79.650000000000006</v>
      </c>
      <c r="L35" s="6"/>
    </row>
    <row r="36" spans="1:21" ht="15.6" x14ac:dyDescent="0.3">
      <c r="A36" s="5">
        <v>28</v>
      </c>
      <c r="B36" s="20" t="s">
        <v>130</v>
      </c>
      <c r="C36" s="7">
        <v>98</v>
      </c>
      <c r="D36" s="5">
        <v>96</v>
      </c>
      <c r="E36" s="5">
        <v>100</v>
      </c>
      <c r="F36" s="5">
        <v>100</v>
      </c>
      <c r="G36" s="9">
        <v>84</v>
      </c>
      <c r="H36" s="16">
        <f t="shared" si="0"/>
        <v>97</v>
      </c>
      <c r="I36" s="16">
        <f t="shared" si="1"/>
        <v>100</v>
      </c>
      <c r="J36" s="7">
        <f t="shared" si="2"/>
        <v>94.15</v>
      </c>
      <c r="L36" s="6"/>
    </row>
    <row r="37" spans="1:21" ht="15.6" x14ac:dyDescent="0.3">
      <c r="A37" s="5">
        <v>29</v>
      </c>
      <c r="B37" s="20" t="s">
        <v>131</v>
      </c>
      <c r="C37" s="7">
        <v>87</v>
      </c>
      <c r="D37" s="5">
        <v>98</v>
      </c>
      <c r="E37" s="5">
        <v>97</v>
      </c>
      <c r="F37" s="5">
        <v>100</v>
      </c>
      <c r="G37" s="9">
        <v>58</v>
      </c>
      <c r="H37" s="16">
        <f t="shared" si="0"/>
        <v>92.5</v>
      </c>
      <c r="I37" s="16">
        <f t="shared" si="1"/>
        <v>98.5</v>
      </c>
      <c r="J37" s="7">
        <f t="shared" si="2"/>
        <v>84.25</v>
      </c>
      <c r="L37" s="6"/>
    </row>
    <row r="38" spans="1:21" ht="15.6" x14ac:dyDescent="0.3">
      <c r="A38" s="5">
        <v>30</v>
      </c>
      <c r="B38" s="20" t="s">
        <v>132</v>
      </c>
      <c r="C38" s="7">
        <v>70</v>
      </c>
      <c r="D38" s="5">
        <v>78</v>
      </c>
      <c r="E38" s="5">
        <v>60</v>
      </c>
      <c r="F38" s="5">
        <v>80</v>
      </c>
      <c r="G38" s="9">
        <v>66</v>
      </c>
      <c r="H38" s="16">
        <f t="shared" si="0"/>
        <v>74</v>
      </c>
      <c r="I38" s="16">
        <f t="shared" si="1"/>
        <v>70</v>
      </c>
      <c r="J38" s="7">
        <f t="shared" si="2"/>
        <v>70.2</v>
      </c>
      <c r="K38" s="3"/>
      <c r="L38" s="3"/>
      <c r="R38" s="8"/>
      <c r="U38" s="8"/>
    </row>
    <row r="39" spans="1:21" ht="15.6" x14ac:dyDescent="0.3">
      <c r="A39" s="5">
        <v>31</v>
      </c>
      <c r="B39" s="20" t="s">
        <v>133</v>
      </c>
      <c r="C39" s="7">
        <v>60</v>
      </c>
      <c r="D39" s="5">
        <v>69</v>
      </c>
      <c r="E39" s="5">
        <v>100</v>
      </c>
      <c r="F39" s="5">
        <v>94</v>
      </c>
      <c r="G39" s="9">
        <v>29</v>
      </c>
      <c r="H39" s="16">
        <f t="shared" si="0"/>
        <v>64.5</v>
      </c>
      <c r="I39" s="16">
        <f t="shared" si="1"/>
        <v>97</v>
      </c>
      <c r="J39" s="7">
        <f t="shared" si="2"/>
        <v>65.224999999999994</v>
      </c>
      <c r="K39" s="3"/>
      <c r="L39" s="3"/>
    </row>
    <row r="40" spans="1:21" ht="15.6" x14ac:dyDescent="0.3">
      <c r="A40" s="5">
        <v>32</v>
      </c>
      <c r="B40" s="21" t="s">
        <v>134</v>
      </c>
      <c r="C40" s="7">
        <v>89</v>
      </c>
      <c r="D40" s="7">
        <v>87</v>
      </c>
      <c r="E40" s="5">
        <v>98</v>
      </c>
      <c r="F40" s="5">
        <v>94</v>
      </c>
      <c r="G40" s="4">
        <v>73</v>
      </c>
      <c r="H40" s="16">
        <f t="shared" si="0"/>
        <v>88</v>
      </c>
      <c r="I40" s="16">
        <f t="shared" si="1"/>
        <v>96</v>
      </c>
      <c r="J40" s="7">
        <f t="shared" si="2"/>
        <v>86.300000000000011</v>
      </c>
      <c r="K40" s="3"/>
      <c r="L40" s="3"/>
    </row>
    <row r="41" spans="1:21" x14ac:dyDescent="0.3">
      <c r="A41" s="3"/>
      <c r="B41" s="3"/>
      <c r="C41" s="3"/>
      <c r="D41" s="3"/>
      <c r="E41" s="3"/>
      <c r="F41" s="3"/>
      <c r="G41" s="3"/>
      <c r="I41" s="3"/>
      <c r="J41" s="3"/>
      <c r="K41" s="3"/>
      <c r="L41" s="3"/>
    </row>
    <row r="43" spans="1:21" x14ac:dyDescent="0.3">
      <c r="H43" s="2" t="s">
        <v>32</v>
      </c>
    </row>
    <row r="44" spans="1:21" x14ac:dyDescent="0.3">
      <c r="H44" s="2" t="s">
        <v>11</v>
      </c>
    </row>
    <row r="45" spans="1:21" x14ac:dyDescent="0.3">
      <c r="H45" s="2"/>
    </row>
    <row r="46" spans="1:21" x14ac:dyDescent="0.3">
      <c r="H46" s="2"/>
    </row>
    <row r="47" spans="1:21" x14ac:dyDescent="0.3">
      <c r="H47" s="2" t="s">
        <v>33</v>
      </c>
    </row>
  </sheetData>
  <mergeCells count="7">
    <mergeCell ref="E8:F8"/>
    <mergeCell ref="H8:I8"/>
    <mergeCell ref="A8:A9"/>
    <mergeCell ref="B8:B9"/>
    <mergeCell ref="A1:J1"/>
    <mergeCell ref="A2:J2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KYANITE</vt:lpstr>
      <vt:lpstr>INTAN</vt:lpstr>
      <vt:lpstr>SAFIR</vt:lpstr>
      <vt:lpstr>GRANIT</vt:lpstr>
      <vt:lpstr>TOPAZ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Digitalisasi</cp:lastModifiedBy>
  <dcterms:created xsi:type="dcterms:W3CDTF">2022-12-13T01:59:23Z</dcterms:created>
  <dcterms:modified xsi:type="dcterms:W3CDTF">2026-10-22T02:51:59Z</dcterms:modified>
</cp:coreProperties>
</file>