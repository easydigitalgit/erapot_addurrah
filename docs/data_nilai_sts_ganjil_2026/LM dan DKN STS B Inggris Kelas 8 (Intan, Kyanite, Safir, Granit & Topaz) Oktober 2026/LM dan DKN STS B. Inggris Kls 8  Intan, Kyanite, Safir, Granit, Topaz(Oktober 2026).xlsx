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BOOK\Desktop\"/>
    </mc:Choice>
  </mc:AlternateContent>
  <xr:revisionPtr revIDLastSave="0" documentId="13_ncr:1_{F53379C4-2F93-4E2A-A0F2-9B4D0B2F1D8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sekripsi LM" sheetId="15" r:id="rId1"/>
    <sheet name="8 INTAN" sheetId="10" r:id="rId2"/>
    <sheet name="8 KYANITE" sheetId="11" r:id="rId3"/>
    <sheet name="8 SAFIR" sheetId="12" r:id="rId4"/>
    <sheet name="8 GRANIT" sheetId="13" r:id="rId5"/>
    <sheet name="8 TOPAZ" sheetId="14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2" l="1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H31" i="12"/>
  <c r="I31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C22" i="10"/>
  <c r="D22" i="10"/>
  <c r="C23" i="10"/>
  <c r="D23" i="10"/>
  <c r="C24" i="10"/>
  <c r="D24" i="10"/>
  <c r="C25" i="10"/>
  <c r="D25" i="10"/>
  <c r="C26" i="10"/>
  <c r="D26" i="10"/>
  <c r="C27" i="10"/>
  <c r="D27" i="10"/>
  <c r="C28" i="10"/>
  <c r="D28" i="10"/>
  <c r="C29" i="10"/>
  <c r="D29" i="10"/>
  <c r="C30" i="10"/>
  <c r="D30" i="10"/>
  <c r="C31" i="10"/>
  <c r="D31" i="10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O32" i="13" s="1"/>
  <c r="H33" i="13"/>
  <c r="H34" i="13"/>
  <c r="H35" i="13"/>
  <c r="H36" i="13"/>
  <c r="H37" i="13"/>
  <c r="H38" i="13"/>
  <c r="H39" i="13"/>
  <c r="H40" i="13"/>
  <c r="H41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N31" i="13"/>
  <c r="N32" i="13"/>
  <c r="N33" i="13"/>
  <c r="N34" i="13"/>
  <c r="N35" i="13"/>
  <c r="N36" i="13"/>
  <c r="N37" i="13"/>
  <c r="N38" i="13"/>
  <c r="N39" i="13"/>
  <c r="N40" i="13"/>
  <c r="N41" i="13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H10" i="14"/>
  <c r="I10" i="14"/>
  <c r="H11" i="14"/>
  <c r="I11" i="14"/>
  <c r="H12" i="14"/>
  <c r="I12" i="14"/>
  <c r="H13" i="14"/>
  <c r="I13" i="14"/>
  <c r="H14" i="14"/>
  <c r="I14" i="14"/>
  <c r="H15" i="14"/>
  <c r="I15" i="14"/>
  <c r="H16" i="14"/>
  <c r="I16" i="14"/>
  <c r="H17" i="14"/>
  <c r="I17" i="14"/>
  <c r="H18" i="14"/>
  <c r="I18" i="14"/>
  <c r="H19" i="14"/>
  <c r="I19" i="14"/>
  <c r="H20" i="14"/>
  <c r="I20" i="14"/>
  <c r="H21" i="14"/>
  <c r="I21" i="14"/>
  <c r="H22" i="14"/>
  <c r="I22" i="14"/>
  <c r="H23" i="14"/>
  <c r="I23" i="14"/>
  <c r="H24" i="14"/>
  <c r="I24" i="14"/>
  <c r="H25" i="14"/>
  <c r="I25" i="14"/>
  <c r="H26" i="14"/>
  <c r="I26" i="14"/>
  <c r="H27" i="14"/>
  <c r="I27" i="14"/>
  <c r="H28" i="14"/>
  <c r="I28" i="14"/>
  <c r="H29" i="14"/>
  <c r="I29" i="14"/>
  <c r="H30" i="14"/>
  <c r="I30" i="14"/>
  <c r="H31" i="14"/>
  <c r="I31" i="14"/>
  <c r="O31" i="14" s="1"/>
  <c r="H32" i="14"/>
  <c r="I32" i="14"/>
  <c r="H33" i="14"/>
  <c r="I33" i="14"/>
  <c r="H34" i="14"/>
  <c r="I34" i="14"/>
  <c r="H35" i="14"/>
  <c r="I35" i="14"/>
  <c r="H36" i="14"/>
  <c r="I36" i="14"/>
  <c r="H37" i="14"/>
  <c r="O37" i="14" s="1"/>
  <c r="I37" i="14"/>
  <c r="H38" i="14"/>
  <c r="I38" i="14"/>
  <c r="H39" i="14"/>
  <c r="I39" i="14"/>
  <c r="H40" i="14"/>
  <c r="I40" i="14"/>
  <c r="H41" i="14"/>
  <c r="I41" i="14"/>
  <c r="H42" i="14"/>
  <c r="I42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C32" i="14"/>
  <c r="D32" i="14"/>
  <c r="C33" i="14"/>
  <c r="D33" i="14"/>
  <c r="C34" i="14"/>
  <c r="D34" i="14"/>
  <c r="C35" i="14"/>
  <c r="D35" i="14"/>
  <c r="C36" i="14"/>
  <c r="D36" i="14"/>
  <c r="C37" i="14"/>
  <c r="D37" i="14"/>
  <c r="C38" i="14"/>
  <c r="D38" i="14"/>
  <c r="C39" i="14"/>
  <c r="D39" i="14"/>
  <c r="C40" i="14"/>
  <c r="D40" i="14"/>
  <c r="C41" i="14"/>
  <c r="D41" i="14"/>
  <c r="C42" i="14"/>
  <c r="D42" i="14"/>
  <c r="O32" i="14"/>
  <c r="O33" i="14"/>
  <c r="O34" i="14"/>
  <c r="O35" i="14"/>
  <c r="O36" i="14"/>
  <c r="O38" i="14"/>
  <c r="O39" i="14"/>
  <c r="O40" i="14"/>
  <c r="O41" i="14"/>
  <c r="O42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O34" i="13" l="1"/>
  <c r="O40" i="13"/>
  <c r="O33" i="13"/>
  <c r="O39" i="13"/>
  <c r="O35" i="13"/>
  <c r="O41" i="13"/>
  <c r="O37" i="13"/>
  <c r="O36" i="13"/>
  <c r="O38" i="13"/>
  <c r="P32" i="13"/>
  <c r="P34" i="13"/>
  <c r="P36" i="13"/>
  <c r="P38" i="13"/>
  <c r="P33" i="13"/>
  <c r="P37" i="13"/>
  <c r="P40" i="13"/>
  <c r="P31" i="14"/>
  <c r="P33" i="14"/>
  <c r="P38" i="14"/>
  <c r="P39" i="14"/>
  <c r="P40" i="14"/>
  <c r="P42" i="14"/>
  <c r="P32" i="14"/>
  <c r="P36" i="14"/>
  <c r="P41" i="14"/>
  <c r="P34" i="14"/>
  <c r="P35" i="14"/>
  <c r="P37" i="14"/>
  <c r="P41" i="13"/>
  <c r="P39" i="13"/>
  <c r="P35" i="13"/>
  <c r="O30" i="14"/>
  <c r="N30" i="14"/>
  <c r="O29" i="14"/>
  <c r="N29" i="14"/>
  <c r="O28" i="14"/>
  <c r="N28" i="14"/>
  <c r="O27" i="14"/>
  <c r="N27" i="14"/>
  <c r="O26" i="14"/>
  <c r="N26" i="14"/>
  <c r="O25" i="14"/>
  <c r="N25" i="14"/>
  <c r="O24" i="14"/>
  <c r="N24" i="14"/>
  <c r="O23" i="14"/>
  <c r="N23" i="14"/>
  <c r="O22" i="14"/>
  <c r="N22" i="14"/>
  <c r="O21" i="14"/>
  <c r="N21" i="14"/>
  <c r="O20" i="14"/>
  <c r="N20" i="14"/>
  <c r="O19" i="14"/>
  <c r="N19" i="14"/>
  <c r="O18" i="14"/>
  <c r="N18" i="14"/>
  <c r="O17" i="14"/>
  <c r="N17" i="14"/>
  <c r="O16" i="14"/>
  <c r="N16" i="14"/>
  <c r="O15" i="14"/>
  <c r="N15" i="14"/>
  <c r="O14" i="14"/>
  <c r="N14" i="14"/>
  <c r="O13" i="14"/>
  <c r="N13" i="14"/>
  <c r="O12" i="14"/>
  <c r="N12" i="14"/>
  <c r="O11" i="14"/>
  <c r="N11" i="14"/>
  <c r="O10" i="14"/>
  <c r="N10" i="14"/>
  <c r="O31" i="13"/>
  <c r="O30" i="13"/>
  <c r="N30" i="13"/>
  <c r="P30" i="13" s="1"/>
  <c r="O29" i="13"/>
  <c r="N29" i="13"/>
  <c r="O28" i="13"/>
  <c r="N28" i="13"/>
  <c r="O27" i="13"/>
  <c r="N27" i="13"/>
  <c r="O26" i="13"/>
  <c r="N26" i="13"/>
  <c r="P26" i="13" s="1"/>
  <c r="O25" i="13"/>
  <c r="N25" i="13"/>
  <c r="O24" i="13"/>
  <c r="N24" i="13"/>
  <c r="P24" i="13" s="1"/>
  <c r="O23" i="13"/>
  <c r="N23" i="13"/>
  <c r="O22" i="13"/>
  <c r="N22" i="13"/>
  <c r="O21" i="13"/>
  <c r="N21" i="13"/>
  <c r="O20" i="13"/>
  <c r="N20" i="13"/>
  <c r="O19" i="13"/>
  <c r="N19" i="13"/>
  <c r="O18" i="13"/>
  <c r="N18" i="13"/>
  <c r="P18" i="13" s="1"/>
  <c r="O17" i="13"/>
  <c r="N17" i="13"/>
  <c r="O16" i="13"/>
  <c r="N16" i="13"/>
  <c r="O15" i="13"/>
  <c r="N15" i="13"/>
  <c r="O14" i="13"/>
  <c r="N14" i="13"/>
  <c r="O13" i="13"/>
  <c r="N13" i="13"/>
  <c r="O12" i="13"/>
  <c r="N12" i="13"/>
  <c r="O11" i="13"/>
  <c r="N11" i="13"/>
  <c r="O10" i="13"/>
  <c r="N10" i="13"/>
  <c r="P10" i="13" s="1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10" i="12"/>
  <c r="N11" i="12"/>
  <c r="N12" i="12"/>
  <c r="N13" i="12"/>
  <c r="N14" i="12"/>
  <c r="N15" i="12"/>
  <c r="P15" i="12" s="1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P31" i="12" s="1"/>
  <c r="N10" i="12"/>
  <c r="P14" i="12"/>
  <c r="P13" i="12"/>
  <c r="P12" i="12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10" i="11"/>
  <c r="N11" i="11"/>
  <c r="N12" i="11"/>
  <c r="N13" i="11"/>
  <c r="N14" i="11"/>
  <c r="N15" i="11"/>
  <c r="N16" i="11"/>
  <c r="N17" i="11"/>
  <c r="N18" i="11"/>
  <c r="P18" i="11" s="1"/>
  <c r="N19" i="11"/>
  <c r="N20" i="11"/>
  <c r="N21" i="11"/>
  <c r="N22" i="11"/>
  <c r="N23" i="11"/>
  <c r="N24" i="11"/>
  <c r="N25" i="11"/>
  <c r="N26" i="11"/>
  <c r="P26" i="11" s="1"/>
  <c r="N27" i="11"/>
  <c r="N28" i="11"/>
  <c r="N29" i="11"/>
  <c r="N30" i="11"/>
  <c r="N31" i="11"/>
  <c r="N10" i="11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10" i="10"/>
  <c r="N11" i="10"/>
  <c r="P11" i="10" s="1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P25" i="10" s="1"/>
  <c r="N26" i="10"/>
  <c r="N27" i="10"/>
  <c r="N28" i="10"/>
  <c r="P28" i="10" s="1"/>
  <c r="N29" i="10"/>
  <c r="N30" i="10"/>
  <c r="N31" i="10"/>
  <c r="N10" i="10"/>
  <c r="P27" i="10"/>
  <c r="P29" i="10"/>
  <c r="P30" i="10"/>
  <c r="P16" i="12" l="1"/>
  <c r="P24" i="12"/>
  <c r="P28" i="12"/>
  <c r="P23" i="12"/>
  <c r="P15" i="11"/>
  <c r="P10" i="11"/>
  <c r="P31" i="11"/>
  <c r="P24" i="11"/>
  <c r="P23" i="11"/>
  <c r="P14" i="10"/>
  <c r="P13" i="10"/>
  <c r="P15" i="10"/>
  <c r="P17" i="10"/>
  <c r="P18" i="10"/>
  <c r="P19" i="10"/>
  <c r="P21" i="10"/>
  <c r="P22" i="13"/>
  <c r="P14" i="13"/>
  <c r="P25" i="14"/>
  <c r="P17" i="14"/>
  <c r="P28" i="13"/>
  <c r="P12" i="13"/>
  <c r="P30" i="12"/>
  <c r="P27" i="12"/>
  <c r="P22" i="12"/>
  <c r="P20" i="12"/>
  <c r="P19" i="12"/>
  <c r="P11" i="12"/>
  <c r="P25" i="11"/>
  <c r="P17" i="11"/>
  <c r="P20" i="10"/>
  <c r="P12" i="10"/>
  <c r="P23" i="13"/>
  <c r="P26" i="12"/>
  <c r="P18" i="12"/>
  <c r="P25" i="12"/>
  <c r="P17" i="12"/>
  <c r="P10" i="12"/>
  <c r="P29" i="12"/>
  <c r="P21" i="12"/>
  <c r="P30" i="11"/>
  <c r="P22" i="11"/>
  <c r="P14" i="11"/>
  <c r="P29" i="11"/>
  <c r="P21" i="11"/>
  <c r="P13" i="11"/>
  <c r="P20" i="11"/>
  <c r="P12" i="11"/>
  <c r="P27" i="11"/>
  <c r="P19" i="11"/>
  <c r="P11" i="11"/>
  <c r="P24" i="10"/>
  <c r="P16" i="10"/>
  <c r="P31" i="10"/>
  <c r="P23" i="10"/>
  <c r="P22" i="10"/>
  <c r="P26" i="10"/>
  <c r="P28" i="14"/>
  <c r="P10" i="14"/>
  <c r="P14" i="14"/>
  <c r="P18" i="14"/>
  <c r="P22" i="14"/>
  <c r="P26" i="14"/>
  <c r="P30" i="14"/>
  <c r="P11" i="14"/>
  <c r="P15" i="14"/>
  <c r="P19" i="14"/>
  <c r="P23" i="14"/>
  <c r="P27" i="14"/>
  <c r="P21" i="14"/>
  <c r="P12" i="14"/>
  <c r="P16" i="14"/>
  <c r="P13" i="14"/>
  <c r="P29" i="14"/>
  <c r="P20" i="14"/>
  <c r="P24" i="14"/>
  <c r="P20" i="13"/>
  <c r="P13" i="13"/>
  <c r="P17" i="13"/>
  <c r="P21" i="13"/>
  <c r="P25" i="13"/>
  <c r="P29" i="13"/>
  <c r="P11" i="13"/>
  <c r="P19" i="13"/>
  <c r="P15" i="13"/>
  <c r="P16" i="13"/>
  <c r="P27" i="13"/>
  <c r="P31" i="13"/>
  <c r="P28" i="11"/>
  <c r="P16" i="11"/>
  <c r="P10" i="10"/>
</calcChain>
</file>

<file path=xl/sharedStrings.xml><?xml version="1.0" encoding="utf-8"?>
<sst xmlns="http://schemas.openxmlformats.org/spreadsheetml/2006/main" count="328" uniqueCount="176">
  <si>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</si>
  <si>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</si>
  <si>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</si>
  <si>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</si>
  <si>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</si>
  <si>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</si>
  <si>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</si>
  <si>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</si>
  <si>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</si>
  <si>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</si>
  <si>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</si>
  <si>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</si>
  <si>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</si>
  <si>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</si>
  <si>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</si>
  <si>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</si>
  <si>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</si>
  <si>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</si>
  <si>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</si>
  <si>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</si>
  <si>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</si>
  <si>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</si>
  <si>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</si>
  <si>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</si>
  <si>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LM5</t>
  </si>
  <si>
    <t>FORMATIF / NH</t>
  </si>
  <si>
    <t>FORMATIF / UH</t>
  </si>
  <si>
    <t>NH</t>
  </si>
  <si>
    <t>UH</t>
  </si>
  <si>
    <t>: STS 1 GANJIL</t>
  </si>
  <si>
    <t>AFIFAH DHIA FADILLAH</t>
  </si>
  <si>
    <t>ALIFIA AJWA</t>
  </si>
  <si>
    <t>AURELIA MUTIARA RAMDANI</t>
  </si>
  <si>
    <t>AZIZAH ZAHRA SIREGAR</t>
  </si>
  <si>
    <t>INAYA AZMI ATHIFA</t>
  </si>
  <si>
    <t>KHEYSA RASHIFA</t>
  </si>
  <si>
    <t>NAISYAH SALSABILA NUSI</t>
  </si>
  <si>
    <t>ORIN FARAH DINA</t>
  </si>
  <si>
    <t>RIZKA ALYA PUTRI</t>
  </si>
  <si>
    <t>SHABRINA HALWA</t>
  </si>
  <si>
    <t>SUCI RAMADHANI</t>
  </si>
  <si>
    <t>SUHANA AICA ACSYAH HSB</t>
  </si>
  <si>
    <t>SYARFINA ANINDYA PUTRI</t>
  </si>
  <si>
    <t>AFIKA HARUMI</t>
  </si>
  <si>
    <t>AFIQAH AZZAHRA</t>
  </si>
  <si>
    <t>ALLYSHA PUTRI WIJAYA</t>
  </si>
  <si>
    <t>AZZAHWA ILMI AL-FASA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</si>
  <si>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</si>
  <si>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</si>
  <si>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</si>
  <si>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</si>
  <si>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</si>
  <si>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</si>
  <si>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</si>
  <si>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SITI AISAH</t>
  </si>
  <si>
    <t>SUCI ZAIRANI</t>
  </si>
  <si>
    <t>THALIA JEHAN NADITA</t>
  </si>
  <si>
    <t>WAN NAYLA AFIFA</t>
  </si>
  <si>
    <t>YUMNA TALITHA</t>
  </si>
  <si>
    <t>AQILA SAHARA</t>
  </si>
  <si>
    <t>ALYA JAZILA ARANI</t>
  </si>
  <si>
    <t>AMELIA FENETA ZULHAM</t>
  </si>
  <si>
    <t>AQILA AZ ZAHWA</t>
  </si>
  <si>
    <t>ATIQA MAGHFIRAH</t>
  </si>
  <si>
    <t>EARLYTA ARSYFA</t>
  </si>
  <si>
    <t>FARADILLA RAMADANI</t>
  </si>
  <si>
    <t>KHANSA FAIRUZ ZHAFIRAH S</t>
  </si>
  <si>
    <t>KHEYLA RASHIFA</t>
  </si>
  <si>
    <t>MYSHA ZAHIRA SACHI</t>
  </si>
  <si>
    <t>NUR ALFIYAH HAWA</t>
  </si>
  <si>
    <t>RHALYNSA RIZKI</t>
  </si>
  <si>
    <t>SALWA TSABITA</t>
  </si>
  <si>
    <t>SYIFA NAURA AFAF</t>
  </si>
  <si>
    <t>: 8 INTAN</t>
  </si>
  <si>
    <t>: 8 KYANITE</t>
  </si>
  <si>
    <t>: 8 SAFIR</t>
  </si>
  <si>
    <t>Medan, 20 Oktober 2026</t>
  </si>
  <si>
    <t>Eli Saprida, S.Pd., Gr</t>
  </si>
  <si>
    <t>: 8 GRANIT</t>
  </si>
  <si>
    <t>: BAHASA INGGRIS</t>
  </si>
  <si>
    <t>: 8 TOPAZ</t>
  </si>
  <si>
    <t>Abid Zuhair</t>
  </si>
  <si>
    <t>AHYA MAULIDAN</t>
  </si>
  <si>
    <t>AKIL ZAYDAN RAHMANA</t>
  </si>
  <si>
    <t>Arga Reyhan Bahari</t>
  </si>
  <si>
    <t>ARKAAN FAIZ</t>
  </si>
  <si>
    <t>ARYAN IHTISYAM ADHA</t>
  </si>
  <si>
    <t>AUFAR ALFARIZI</t>
  </si>
  <si>
    <t>DAFFI AZMI</t>
  </si>
  <si>
    <t>FATHIN ASY - SYAUQI</t>
  </si>
  <si>
    <t>ISBAH FAJAR HAFIZ</t>
  </si>
  <si>
    <t>KHADAFFI ANWAR</t>
  </si>
  <si>
    <t>M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</si>
  <si>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</si>
  <si>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</si>
  <si>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</si>
  <si>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</si>
  <si>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</si>
  <si>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</si>
  <si>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</si>
  <si>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</si>
  <si>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</si>
  <si>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</si>
  <si>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</si>
  <si>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</si>
  <si>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</si>
  <si>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</si>
  <si>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</si>
  <si>
    <t>AHMAD OKA AL FATIH</t>
  </si>
  <si>
    <t>BARIQ HIJRI AKBAR</t>
  </si>
  <si>
    <t>ELKAN ABSANA TANJUNG</t>
  </si>
  <si>
    <t>FATIH ELKARIM</t>
  </si>
  <si>
    <t>ADABI LIMANSYAH SAGALA</t>
  </si>
  <si>
    <t>ALBIZRA WALI SUHERI</t>
  </si>
  <si>
    <t>ARZIKI ALI AZKA</t>
  </si>
  <si>
    <t>CHIKO AMANDA DIKA</t>
  </si>
  <si>
    <t>FADHIL RAJABI</t>
  </si>
  <si>
    <t>FAEYZA MOUZA QHALISH</t>
  </si>
  <si>
    <t>JAYA HARTOYO FAHRIAN</t>
  </si>
  <si>
    <t>MHD DAYAN SANI ADMAJA</t>
  </si>
  <si>
    <t>MUHAMMAD ALIF YUSUF ILHAM</t>
  </si>
  <si>
    <t>MUHAMMAD RAHMAN</t>
  </si>
  <si>
    <t>RAHMAD ARJUNA SIREGAR</t>
  </si>
  <si>
    <t>SULTHAN AUFAR AL FIKRI NASUTION</t>
  </si>
  <si>
    <t>WILDAN TAMEEM BAHRI</t>
  </si>
  <si>
    <t>ILHAM HAFIZ</t>
  </si>
  <si>
    <t>MUHAMMAD HABIB SYARIF MAULANA</t>
  </si>
  <si>
    <t>AZURA FAIRUUS BARDANI</t>
  </si>
  <si>
    <t>FATHINAH KINARA JALIKA</t>
  </si>
  <si>
    <t>Keiko Mutiara Zahra</t>
  </si>
  <si>
    <t>Khanza Aya Diyya</t>
  </si>
  <si>
    <t>NAURA DZAKIYYA SAKHI</t>
  </si>
  <si>
    <t>QANITA AQILAH ALFARIZSIH</t>
  </si>
  <si>
    <t>SALSABIL SHAFA PRAYOGO</t>
  </si>
  <si>
    <t>Siti Nafisah Ray</t>
  </si>
  <si>
    <t>SYAQILLA AULIYANI YOESNAVOSVCKY</t>
  </si>
  <si>
    <t>Asyifa Naurah Feirus</t>
  </si>
  <si>
    <t>Ayla Shaufa Azzahro</t>
  </si>
  <si>
    <t>Delima Annisa Siregar</t>
  </si>
  <si>
    <t>Safana Al Humaira</t>
  </si>
  <si>
    <t>Vivi Aulia Tanjung</t>
  </si>
  <si>
    <t>AISYAH RABIUL AWALIYAH PURBA</t>
  </si>
  <si>
    <t>Alifa Nur Zahirah</t>
  </si>
  <si>
    <t>Aqilah Khanza Ramadhani</t>
  </si>
  <si>
    <t>Asyavira Kartika</t>
  </si>
  <si>
    <t>Azqa Aqilla Mumtaz</t>
  </si>
  <si>
    <t>Inaya Athifa</t>
  </si>
  <si>
    <t>Jahira Humairoh Manurung</t>
  </si>
  <si>
    <t>Salsabil Azzahra Lubis</t>
  </si>
  <si>
    <t>Salsabila Bilqis Pasaribu</t>
  </si>
  <si>
    <t>AHMAD YUSRI HABIBIE</t>
  </si>
  <si>
    <t>Andrian Saputra</t>
  </si>
  <si>
    <t>ARSY AL FARIZI</t>
  </si>
  <si>
    <t>ATHALLAH ALSULTHAN NAINGGOLAN</t>
  </si>
  <si>
    <t>DIMAS ALVINO WYDYANTORO</t>
  </si>
  <si>
    <t>Faiz Pintara Al-Hafidz</t>
  </si>
  <si>
    <t>Fathir Al Ghifary Lesmana</t>
  </si>
  <si>
    <t>Ghaisan Agha Gautama</t>
  </si>
  <si>
    <t>IQBAL AR ZAAKY</t>
  </si>
  <si>
    <t>M RIFFAT SYAH INDRA</t>
  </si>
  <si>
    <t>Mhd Justicio Pradipto</t>
  </si>
  <si>
    <t>MHD. HAFIZ FADLI</t>
  </si>
  <si>
    <t>MUHAMMAD AFKHAR AYUB</t>
  </si>
  <si>
    <t>MUHAMMAD HABIBSYAH SYUKUR</t>
  </si>
  <si>
    <t>Muhammad Raihan Rasyiddin</t>
  </si>
  <si>
    <t>NAUFAL AL-KHALISH NAMORA NASUTION</t>
  </si>
  <si>
    <t>RADITYAH NAUFAL PUTRA</t>
  </si>
  <si>
    <t>Raffa Nurzi Shaula</t>
  </si>
  <si>
    <t>Fahrian Haikal Ginting</t>
  </si>
  <si>
    <t>Form Guru Mapel</t>
  </si>
  <si>
    <t>Nama Guru : Eli Saprida, S. Pd., Gr</t>
  </si>
  <si>
    <t>Kelas: 8 (Intan, Kyanite, Safir, Granit, Topaz)</t>
  </si>
  <si>
    <t xml:space="preserve">Mata Pelajaran : Bahasa Inggris </t>
  </si>
  <si>
    <t>Deskripsi LM:</t>
  </si>
  <si>
    <t>1. memahami, mengidentifikasi, dan menggunakan ungkapan untuk menyatakan serta menanyakan minat (interest) dan hobi (hobbies)</t>
  </si>
  <si>
    <t>2. memahami dan menggunakan kosakata ungkapan yang tepat tentang simple preset 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</si>
</sst>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1" fillId="0" borderId="0"/>
    <xf numFmtId="0" fontId="1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5" fillId="0" borderId="0" xfId="0" applyFont="1"/>
    <xf numFmtId="0" fontId="14" fillId="0" borderId="0" xfId="0" applyFont="1"/>
  </cellXfs>
  <cellStyles count="5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4" xfId="3" xr:uid="{00000000-0005-0000-0000-000004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mplate_Kolektif_Tengah_Topaz%20(1).xlsx" TargetMode="External"/><Relationship Id="rId2" Type="http://schemas.openxmlformats.org/officeDocument/2006/relationships/externalLinkPath" Target="file:///C:\Users\VIVOBOOK\Downloads\Template_Kolektif_Tengah_Topaz%20(1).xlsx" TargetMode="External"/><Relationship Id="rId1" Type="http://schemas.openxmlformats.org/officeDocument/2006/relationships/externalLinkPath" Target="/Users/VIVOBOOK/Downloads/Template_Kolektif_Tengah_Topaz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mplate_Kolektif_Tengah_Granit.xlsx" TargetMode="External"/><Relationship Id="rId2" Type="http://schemas.openxmlformats.org/officeDocument/2006/relationships/externalLinkPath" Target="file:///C:\Users\VIVOBOOK\Downloads\Template_Kolektif_Tengah_Granit.xlsx" TargetMode="External"/><Relationship Id="rId1" Type="http://schemas.openxmlformats.org/officeDocument/2006/relationships/externalLinkPath" Target="/Users/VIVOBOOK/Downloads/Template_Kolektif_Tengah_Grani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mplate_Kolektif_Tengah_Intan(1).xlsx" TargetMode="External"/><Relationship Id="rId2" Type="http://schemas.openxmlformats.org/officeDocument/2006/relationships/externalLinkPath" Target="file:///C:\Users\VIVOBOOK\Downloads\Template_Kolektif_Tengah_Intan(1).xlsx" TargetMode="External"/><Relationship Id="rId1" Type="http://schemas.openxmlformats.org/officeDocument/2006/relationships/externalLinkPath" Target="/Users/VIVOBOOK/Downloads/Template_Kolektif_Tengah_Intan(1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mplate_Kolektif_Tengah_Kyanite.xlsx" TargetMode="External"/><Relationship Id="rId2" Type="http://schemas.openxmlformats.org/officeDocument/2006/relationships/externalLinkPath" Target="file:///C:\Users\VIVOBOOK\Downloads\Template_Kolektif_Tengah_Kyanite.xlsx" TargetMode="External"/><Relationship Id="rId1" Type="http://schemas.openxmlformats.org/officeDocument/2006/relationships/externalLinkPath" Target="/Users/VIVOBOOK/Downloads/Template_Kolektif_Tengah_Kyanit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mplate_Kolektif_Tengah_Safir(1).xlsx" TargetMode="External"/><Relationship Id="rId2" Type="http://schemas.openxmlformats.org/officeDocument/2006/relationships/externalLinkPath" Target="file:///C:\Users\VIVOBOOK\Downloads\Template_Kolektif_Tengah_Safir(1).xlsx" TargetMode="External"/><Relationship Id="rId1" Type="http://schemas.openxmlformats.org/officeDocument/2006/relationships/externalLinkPath" Target="/Users/VIVOBOOK/Downloads/Template_Kolektif_Tengah_Safir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</sheetNames>
    <sheetDataSet>
      <sheetData sheetId="0">
        <row r="10">
          <cell r="D10">
            <v>70</v>
          </cell>
          <cell r="E10">
            <v>70</v>
          </cell>
          <cell r="F10">
            <v>70</v>
          </cell>
          <cell r="G10">
            <v>70</v>
          </cell>
          <cell r="H10">
            <v>53</v>
          </cell>
        </row>
        <row r="11">
          <cell r="D11">
            <v>80</v>
          </cell>
          <cell r="E11">
            <v>80</v>
          </cell>
          <cell r="F11">
            <v>80</v>
          </cell>
          <cell r="G11">
            <v>80</v>
          </cell>
          <cell r="H11">
            <v>43</v>
          </cell>
        </row>
        <row r="12">
          <cell r="D12">
            <v>80</v>
          </cell>
          <cell r="E12">
            <v>80</v>
          </cell>
          <cell r="F12">
            <v>90</v>
          </cell>
          <cell r="G12">
            <v>90</v>
          </cell>
          <cell r="H12">
            <v>72</v>
          </cell>
        </row>
        <row r="13">
          <cell r="D13">
            <v>95</v>
          </cell>
          <cell r="E13">
            <v>95</v>
          </cell>
          <cell r="F13">
            <v>90</v>
          </cell>
          <cell r="G13">
            <v>90</v>
          </cell>
          <cell r="H13">
            <v>62</v>
          </cell>
        </row>
        <row r="14">
          <cell r="D14">
            <v>70</v>
          </cell>
          <cell r="E14">
            <v>70</v>
          </cell>
          <cell r="F14">
            <v>60</v>
          </cell>
          <cell r="G14">
            <v>60</v>
          </cell>
          <cell r="H14">
            <v>87</v>
          </cell>
        </row>
        <row r="15">
          <cell r="D15">
            <v>85</v>
          </cell>
          <cell r="E15">
            <v>85</v>
          </cell>
          <cell r="F15">
            <v>88</v>
          </cell>
          <cell r="G15">
            <v>88</v>
          </cell>
          <cell r="H15">
            <v>99</v>
          </cell>
        </row>
        <row r="16">
          <cell r="D16">
            <v>98</v>
          </cell>
          <cell r="E16">
            <v>98</v>
          </cell>
          <cell r="F16">
            <v>80</v>
          </cell>
          <cell r="G16">
            <v>80</v>
          </cell>
          <cell r="H16">
            <v>45</v>
          </cell>
        </row>
        <row r="17">
          <cell r="D17">
            <v>70</v>
          </cell>
          <cell r="E17">
            <v>70</v>
          </cell>
          <cell r="F17">
            <v>63</v>
          </cell>
          <cell r="G17">
            <v>63</v>
          </cell>
          <cell r="H17">
            <v>17</v>
          </cell>
        </row>
        <row r="18">
          <cell r="D18">
            <v>95</v>
          </cell>
          <cell r="E18">
            <v>95</v>
          </cell>
          <cell r="F18">
            <v>95</v>
          </cell>
          <cell r="G18">
            <v>95</v>
          </cell>
          <cell r="H18">
            <v>50</v>
          </cell>
        </row>
        <row r="19">
          <cell r="D19">
            <v>90</v>
          </cell>
          <cell r="E19">
            <v>90</v>
          </cell>
          <cell r="F19">
            <v>80</v>
          </cell>
          <cell r="G19">
            <v>80</v>
          </cell>
          <cell r="H19">
            <v>90</v>
          </cell>
        </row>
        <row r="20">
          <cell r="D20">
            <v>90</v>
          </cell>
          <cell r="E20">
            <v>90</v>
          </cell>
          <cell r="F20">
            <v>80</v>
          </cell>
          <cell r="G20">
            <v>80</v>
          </cell>
          <cell r="H20">
            <v>30</v>
          </cell>
        </row>
        <row r="21">
          <cell r="D21">
            <v>86</v>
          </cell>
          <cell r="E21">
            <v>86</v>
          </cell>
          <cell r="F21">
            <v>91</v>
          </cell>
          <cell r="G21">
            <v>91</v>
          </cell>
          <cell r="H21">
            <v>36</v>
          </cell>
        </row>
        <row r="22">
          <cell r="D22">
            <v>96</v>
          </cell>
          <cell r="E22">
            <v>96</v>
          </cell>
          <cell r="F22">
            <v>98</v>
          </cell>
          <cell r="G22">
            <v>98</v>
          </cell>
          <cell r="H22">
            <v>71</v>
          </cell>
        </row>
        <row r="23">
          <cell r="D23">
            <v>80</v>
          </cell>
          <cell r="E23">
            <v>80</v>
          </cell>
          <cell r="F23">
            <v>88</v>
          </cell>
          <cell r="G23">
            <v>88</v>
          </cell>
          <cell r="H23">
            <v>54</v>
          </cell>
        </row>
        <row r="24">
          <cell r="D24">
            <v>97</v>
          </cell>
          <cell r="E24">
            <v>97</v>
          </cell>
          <cell r="F24">
            <v>92</v>
          </cell>
          <cell r="G24">
            <v>92</v>
          </cell>
          <cell r="H24">
            <v>18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D26">
            <v>80</v>
          </cell>
          <cell r="E26">
            <v>80</v>
          </cell>
          <cell r="F26">
            <v>80</v>
          </cell>
          <cell r="G26">
            <v>80</v>
          </cell>
          <cell r="H26">
            <v>36</v>
          </cell>
        </row>
        <row r="27">
          <cell r="D27">
            <v>80</v>
          </cell>
          <cell r="E27">
            <v>80</v>
          </cell>
          <cell r="F27">
            <v>75</v>
          </cell>
          <cell r="G27">
            <v>75</v>
          </cell>
          <cell r="H27">
            <v>76</v>
          </cell>
        </row>
        <row r="28">
          <cell r="D28">
            <v>75</v>
          </cell>
          <cell r="E28">
            <v>75</v>
          </cell>
          <cell r="F28">
            <v>70</v>
          </cell>
          <cell r="G28">
            <v>70</v>
          </cell>
          <cell r="H28">
            <v>48</v>
          </cell>
        </row>
        <row r="29">
          <cell r="D29">
            <v>92</v>
          </cell>
          <cell r="E29">
            <v>92</v>
          </cell>
          <cell r="F29">
            <v>89</v>
          </cell>
          <cell r="G29">
            <v>89</v>
          </cell>
          <cell r="H29">
            <v>31</v>
          </cell>
        </row>
        <row r="30">
          <cell r="D30">
            <v>85</v>
          </cell>
          <cell r="E30">
            <v>85</v>
          </cell>
          <cell r="F30">
            <v>95</v>
          </cell>
          <cell r="G30">
            <v>95</v>
          </cell>
          <cell r="H30">
            <v>23</v>
          </cell>
        </row>
        <row r="31">
          <cell r="D31">
            <v>90</v>
          </cell>
          <cell r="E31">
            <v>90</v>
          </cell>
          <cell r="F31">
            <v>90</v>
          </cell>
          <cell r="G31">
            <v>90</v>
          </cell>
          <cell r="H31">
            <v>100</v>
          </cell>
        </row>
        <row r="32">
          <cell r="D32">
            <v>80</v>
          </cell>
          <cell r="E32">
            <v>80</v>
          </cell>
          <cell r="F32">
            <v>95</v>
          </cell>
          <cell r="G32">
            <v>95</v>
          </cell>
          <cell r="H32">
            <v>40</v>
          </cell>
        </row>
        <row r="33">
          <cell r="D33">
            <v>86</v>
          </cell>
          <cell r="E33">
            <v>86</v>
          </cell>
          <cell r="F33">
            <v>83</v>
          </cell>
          <cell r="G33">
            <v>83</v>
          </cell>
          <cell r="H33">
            <v>98</v>
          </cell>
        </row>
        <row r="34">
          <cell r="D34">
            <v>80</v>
          </cell>
          <cell r="E34">
            <v>80</v>
          </cell>
          <cell r="F34">
            <v>80</v>
          </cell>
          <cell r="G34">
            <v>80</v>
          </cell>
          <cell r="H34">
            <v>50</v>
          </cell>
        </row>
        <row r="35">
          <cell r="D35">
            <v>80</v>
          </cell>
          <cell r="E35">
            <v>80</v>
          </cell>
          <cell r="F35">
            <v>60</v>
          </cell>
          <cell r="G35">
            <v>60</v>
          </cell>
          <cell r="H35">
            <v>59</v>
          </cell>
        </row>
        <row r="36">
          <cell r="D36">
            <v>95</v>
          </cell>
          <cell r="E36">
            <v>95</v>
          </cell>
          <cell r="F36">
            <v>90</v>
          </cell>
          <cell r="G36">
            <v>90</v>
          </cell>
          <cell r="H36">
            <v>77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D38">
            <v>87</v>
          </cell>
          <cell r="E38">
            <v>87</v>
          </cell>
          <cell r="F38">
            <v>87</v>
          </cell>
          <cell r="G38">
            <v>87</v>
          </cell>
          <cell r="H38">
            <v>65</v>
          </cell>
        </row>
        <row r="39">
          <cell r="D39">
            <v>92</v>
          </cell>
          <cell r="E39">
            <v>92</v>
          </cell>
          <cell r="F39">
            <v>92</v>
          </cell>
          <cell r="G39">
            <v>92</v>
          </cell>
          <cell r="H39">
            <v>32</v>
          </cell>
        </row>
        <row r="40">
          <cell r="D40">
            <v>90</v>
          </cell>
          <cell r="E40">
            <v>90</v>
          </cell>
          <cell r="F40">
            <v>90</v>
          </cell>
          <cell r="G40">
            <v>90</v>
          </cell>
          <cell r="H40">
            <v>91</v>
          </cell>
        </row>
        <row r="41">
          <cell r="D41">
            <v>83</v>
          </cell>
          <cell r="E41">
            <v>83</v>
          </cell>
          <cell r="F41">
            <v>85</v>
          </cell>
          <cell r="G41">
            <v>85</v>
          </cell>
          <cell r="H41">
            <v>72</v>
          </cell>
        </row>
        <row r="42">
          <cell r="D42">
            <v>75</v>
          </cell>
          <cell r="E42">
            <v>75</v>
          </cell>
          <cell r="F42">
            <v>75</v>
          </cell>
          <cell r="G42">
            <v>75</v>
          </cell>
          <cell r="H42">
            <v>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</sheetNames>
    <sheetDataSet>
      <sheetData sheetId="0">
        <row r="10">
          <cell r="D10">
            <v>90</v>
          </cell>
          <cell r="E10">
            <v>86</v>
          </cell>
          <cell r="F10">
            <v>77</v>
          </cell>
        </row>
        <row r="11">
          <cell r="D11">
            <v>85</v>
          </cell>
          <cell r="E11">
            <v>92</v>
          </cell>
          <cell r="F11">
            <v>78</v>
          </cell>
        </row>
        <row r="12">
          <cell r="D12">
            <v>87</v>
          </cell>
          <cell r="E12">
            <v>90</v>
          </cell>
          <cell r="F12">
            <v>64</v>
          </cell>
        </row>
        <row r="13">
          <cell r="D13">
            <v>88</v>
          </cell>
          <cell r="E13">
            <v>94</v>
          </cell>
          <cell r="F13">
            <v>84</v>
          </cell>
        </row>
        <row r="14">
          <cell r="D14">
            <v>85</v>
          </cell>
          <cell r="E14">
            <v>90</v>
          </cell>
          <cell r="F14">
            <v>70</v>
          </cell>
        </row>
        <row r="15">
          <cell r="D15">
            <v>90</v>
          </cell>
          <cell r="E15">
            <v>95</v>
          </cell>
          <cell r="F15">
            <v>41</v>
          </cell>
        </row>
        <row r="16">
          <cell r="D16">
            <v>94</v>
          </cell>
          <cell r="E16">
            <v>88</v>
          </cell>
          <cell r="F16">
            <v>76</v>
          </cell>
        </row>
        <row r="17">
          <cell r="D17">
            <v>87</v>
          </cell>
          <cell r="E17">
            <v>87</v>
          </cell>
          <cell r="F17">
            <v>96</v>
          </cell>
        </row>
        <row r="18">
          <cell r="D18">
            <v>85</v>
          </cell>
          <cell r="E18">
            <v>80</v>
          </cell>
          <cell r="F18">
            <v>76</v>
          </cell>
        </row>
        <row r="19">
          <cell r="D19">
            <v>92</v>
          </cell>
          <cell r="E19">
            <v>92</v>
          </cell>
          <cell r="F19">
            <v>87</v>
          </cell>
        </row>
        <row r="20">
          <cell r="D20">
            <v>95</v>
          </cell>
          <cell r="E20">
            <v>90</v>
          </cell>
          <cell r="F20">
            <v>79</v>
          </cell>
        </row>
        <row r="21">
          <cell r="D21">
            <v>95</v>
          </cell>
          <cell r="E21">
            <v>91</v>
          </cell>
          <cell r="F21">
            <v>67</v>
          </cell>
        </row>
        <row r="22">
          <cell r="D22">
            <v>87</v>
          </cell>
          <cell r="E22">
            <v>98</v>
          </cell>
          <cell r="F22">
            <v>76</v>
          </cell>
        </row>
        <row r="23">
          <cell r="D23">
            <v>90</v>
          </cell>
          <cell r="E23">
            <v>90</v>
          </cell>
          <cell r="F23">
            <v>95</v>
          </cell>
        </row>
        <row r="24">
          <cell r="D24">
            <v>97</v>
          </cell>
          <cell r="E24">
            <v>92</v>
          </cell>
          <cell r="F24">
            <v>39</v>
          </cell>
        </row>
        <row r="25">
          <cell r="D25">
            <v>85</v>
          </cell>
          <cell r="E25">
            <v>80</v>
          </cell>
          <cell r="F25">
            <v>91</v>
          </cell>
        </row>
        <row r="26">
          <cell r="D26">
            <v>95</v>
          </cell>
          <cell r="E26">
            <v>95</v>
          </cell>
          <cell r="F26">
            <v>30</v>
          </cell>
        </row>
        <row r="27">
          <cell r="D27">
            <v>86</v>
          </cell>
          <cell r="E27">
            <v>86</v>
          </cell>
          <cell r="F27">
            <v>93</v>
          </cell>
        </row>
        <row r="28">
          <cell r="D28">
            <v>90</v>
          </cell>
          <cell r="E28">
            <v>95</v>
          </cell>
          <cell r="F28">
            <v>40</v>
          </cell>
        </row>
        <row r="29">
          <cell r="D29">
            <v>92</v>
          </cell>
          <cell r="E29">
            <v>95</v>
          </cell>
          <cell r="F29">
            <v>63</v>
          </cell>
        </row>
        <row r="30">
          <cell r="D30">
            <v>96</v>
          </cell>
          <cell r="E30">
            <v>95</v>
          </cell>
          <cell r="F30">
            <v>45</v>
          </cell>
        </row>
        <row r="31">
          <cell r="D31">
            <v>90</v>
          </cell>
          <cell r="E31">
            <v>90</v>
          </cell>
          <cell r="F31">
            <v>85</v>
          </cell>
        </row>
        <row r="32">
          <cell r="D32">
            <v>86</v>
          </cell>
          <cell r="E32">
            <v>86</v>
          </cell>
          <cell r="F32">
            <v>72</v>
          </cell>
        </row>
        <row r="33">
          <cell r="D33">
            <v>96</v>
          </cell>
          <cell r="E33">
            <v>94</v>
          </cell>
          <cell r="F33">
            <v>50</v>
          </cell>
        </row>
        <row r="34">
          <cell r="D34">
            <v>93</v>
          </cell>
          <cell r="E34">
            <v>93</v>
          </cell>
          <cell r="F34">
            <v>38</v>
          </cell>
        </row>
        <row r="35">
          <cell r="D35">
            <v>90</v>
          </cell>
          <cell r="E35">
            <v>90</v>
          </cell>
          <cell r="F35">
            <v>84</v>
          </cell>
        </row>
        <row r="36">
          <cell r="D36">
            <v>89</v>
          </cell>
          <cell r="E36">
            <v>95</v>
          </cell>
          <cell r="F36">
            <v>65</v>
          </cell>
        </row>
        <row r="37">
          <cell r="D37">
            <v>90</v>
          </cell>
          <cell r="E37">
            <v>90</v>
          </cell>
          <cell r="F37">
            <v>52</v>
          </cell>
        </row>
        <row r="38">
          <cell r="D38">
            <v>91</v>
          </cell>
          <cell r="E38">
            <v>95</v>
          </cell>
          <cell r="F38">
            <v>77</v>
          </cell>
        </row>
        <row r="39">
          <cell r="D39">
            <v>90</v>
          </cell>
          <cell r="E39">
            <v>90</v>
          </cell>
          <cell r="F39">
            <v>100</v>
          </cell>
        </row>
        <row r="40">
          <cell r="D40">
            <v>92</v>
          </cell>
          <cell r="E40">
            <v>83</v>
          </cell>
          <cell r="F40">
            <v>93</v>
          </cell>
        </row>
        <row r="41">
          <cell r="D41">
            <v>85</v>
          </cell>
          <cell r="E41">
            <v>80</v>
          </cell>
          <cell r="F41">
            <v>93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</sheetNames>
    <sheetDataSet>
      <sheetData sheetId="0">
        <row r="10">
          <cell r="D10">
            <v>90</v>
          </cell>
          <cell r="E10">
            <v>90</v>
          </cell>
          <cell r="F10">
            <v>80</v>
          </cell>
          <cell r="G10">
            <v>80</v>
          </cell>
          <cell r="H10">
            <v>70</v>
          </cell>
        </row>
        <row r="11">
          <cell r="D11">
            <v>90</v>
          </cell>
          <cell r="E11">
            <v>90</v>
          </cell>
          <cell r="F11">
            <v>92</v>
          </cell>
          <cell r="G11">
            <v>92</v>
          </cell>
          <cell r="H11">
            <v>87</v>
          </cell>
        </row>
        <row r="12">
          <cell r="D12">
            <v>90</v>
          </cell>
          <cell r="E12">
            <v>90</v>
          </cell>
          <cell r="F12">
            <v>84</v>
          </cell>
          <cell r="G12">
            <v>84</v>
          </cell>
          <cell r="H12">
            <v>75</v>
          </cell>
        </row>
        <row r="13">
          <cell r="D13">
            <v>88</v>
          </cell>
          <cell r="E13">
            <v>88</v>
          </cell>
          <cell r="F13">
            <v>90</v>
          </cell>
          <cell r="G13">
            <v>90</v>
          </cell>
          <cell r="H13">
            <v>73</v>
          </cell>
        </row>
        <row r="14">
          <cell r="D14">
            <v>90</v>
          </cell>
          <cell r="E14">
            <v>90</v>
          </cell>
          <cell r="F14">
            <v>90</v>
          </cell>
          <cell r="G14">
            <v>90</v>
          </cell>
          <cell r="H14">
            <v>94</v>
          </cell>
        </row>
        <row r="15">
          <cell r="D15">
            <v>90</v>
          </cell>
          <cell r="E15">
            <v>90</v>
          </cell>
          <cell r="F15">
            <v>90</v>
          </cell>
          <cell r="G15">
            <v>90</v>
          </cell>
          <cell r="H15">
            <v>87</v>
          </cell>
        </row>
        <row r="16">
          <cell r="D16">
            <v>87</v>
          </cell>
          <cell r="E16">
            <v>87</v>
          </cell>
          <cell r="F16">
            <v>90</v>
          </cell>
          <cell r="G16">
            <v>90</v>
          </cell>
          <cell r="H16">
            <v>97</v>
          </cell>
        </row>
        <row r="17">
          <cell r="D17">
            <v>87</v>
          </cell>
          <cell r="E17">
            <v>87</v>
          </cell>
          <cell r="F17">
            <v>96</v>
          </cell>
          <cell r="G17">
            <v>96</v>
          </cell>
          <cell r="H17">
            <v>94</v>
          </cell>
        </row>
        <row r="18">
          <cell r="D18">
            <v>87</v>
          </cell>
          <cell r="E18">
            <v>87</v>
          </cell>
          <cell r="F18">
            <v>84</v>
          </cell>
          <cell r="G18">
            <v>84</v>
          </cell>
          <cell r="H18">
            <v>97</v>
          </cell>
        </row>
        <row r="19">
          <cell r="D19">
            <v>85</v>
          </cell>
          <cell r="E19">
            <v>85</v>
          </cell>
          <cell r="F19">
            <v>85</v>
          </cell>
          <cell r="G19">
            <v>85</v>
          </cell>
          <cell r="H19">
            <v>86</v>
          </cell>
        </row>
        <row r="20">
          <cell r="D20">
            <v>87</v>
          </cell>
          <cell r="E20">
            <v>87</v>
          </cell>
          <cell r="F20">
            <v>87</v>
          </cell>
          <cell r="G20">
            <v>87</v>
          </cell>
          <cell r="H20">
            <v>96</v>
          </cell>
        </row>
        <row r="21">
          <cell r="D21">
            <v>86</v>
          </cell>
          <cell r="E21">
            <v>86</v>
          </cell>
          <cell r="F21">
            <v>91</v>
          </cell>
          <cell r="G21">
            <v>91</v>
          </cell>
          <cell r="H21">
            <v>86</v>
          </cell>
        </row>
        <row r="22">
          <cell r="D22">
            <v>90</v>
          </cell>
          <cell r="E22">
            <v>90</v>
          </cell>
          <cell r="F22">
            <v>80</v>
          </cell>
          <cell r="G22">
            <v>80</v>
          </cell>
          <cell r="H22">
            <v>97</v>
          </cell>
        </row>
        <row r="23">
          <cell r="D23">
            <v>85</v>
          </cell>
          <cell r="E23">
            <v>85</v>
          </cell>
          <cell r="F23">
            <v>85</v>
          </cell>
          <cell r="G23">
            <v>85</v>
          </cell>
          <cell r="H23">
            <v>95</v>
          </cell>
        </row>
        <row r="24">
          <cell r="D24">
            <v>90</v>
          </cell>
          <cell r="E24">
            <v>90</v>
          </cell>
          <cell r="F24">
            <v>90</v>
          </cell>
          <cell r="G24">
            <v>90</v>
          </cell>
          <cell r="H24">
            <v>69</v>
          </cell>
        </row>
        <row r="25">
          <cell r="D25">
            <v>89</v>
          </cell>
          <cell r="E25">
            <v>89</v>
          </cell>
          <cell r="F25">
            <v>90</v>
          </cell>
          <cell r="G25">
            <v>90</v>
          </cell>
          <cell r="H25">
            <v>86</v>
          </cell>
        </row>
        <row r="26">
          <cell r="D26">
            <v>90</v>
          </cell>
          <cell r="E26">
            <v>90</v>
          </cell>
          <cell r="F26">
            <v>87</v>
          </cell>
          <cell r="G26">
            <v>87</v>
          </cell>
          <cell r="H26">
            <v>91</v>
          </cell>
        </row>
        <row r="27">
          <cell r="D27">
            <v>91</v>
          </cell>
          <cell r="E27">
            <v>91</v>
          </cell>
          <cell r="F27">
            <v>93</v>
          </cell>
          <cell r="G27">
            <v>93</v>
          </cell>
          <cell r="H27">
            <v>76</v>
          </cell>
        </row>
        <row r="28">
          <cell r="D28">
            <v>95</v>
          </cell>
          <cell r="E28">
            <v>95</v>
          </cell>
          <cell r="F28">
            <v>95</v>
          </cell>
          <cell r="G28">
            <v>95</v>
          </cell>
          <cell r="H28">
            <v>40</v>
          </cell>
        </row>
        <row r="29">
          <cell r="D29">
            <v>92</v>
          </cell>
          <cell r="E29">
            <v>92</v>
          </cell>
          <cell r="F29">
            <v>98</v>
          </cell>
          <cell r="G29">
            <v>98</v>
          </cell>
          <cell r="H29">
            <v>48</v>
          </cell>
        </row>
        <row r="30">
          <cell r="D30">
            <v>87</v>
          </cell>
          <cell r="E30">
            <v>87</v>
          </cell>
          <cell r="F30">
            <v>87</v>
          </cell>
          <cell r="G30">
            <v>87</v>
          </cell>
          <cell r="H30">
            <v>75</v>
          </cell>
        </row>
        <row r="31">
          <cell r="D31">
            <v>90</v>
          </cell>
          <cell r="E31">
            <v>90</v>
          </cell>
          <cell r="F31">
            <v>90</v>
          </cell>
          <cell r="G31">
            <v>90</v>
          </cell>
          <cell r="H31">
            <v>93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</sheetNames>
    <sheetDataSet>
      <sheetData sheetId="0">
        <row r="10">
          <cell r="D10">
            <v>83</v>
          </cell>
          <cell r="E10">
            <v>86</v>
          </cell>
          <cell r="F10">
            <v>97</v>
          </cell>
        </row>
        <row r="11">
          <cell r="D11">
            <v>90</v>
          </cell>
          <cell r="E11">
            <v>88</v>
          </cell>
          <cell r="F11">
            <v>92</v>
          </cell>
        </row>
        <row r="12">
          <cell r="D12">
            <v>86</v>
          </cell>
          <cell r="E12">
            <v>90</v>
          </cell>
          <cell r="F12">
            <v>97</v>
          </cell>
        </row>
        <row r="13">
          <cell r="D13">
            <v>90</v>
          </cell>
          <cell r="E13">
            <v>85</v>
          </cell>
          <cell r="F13">
            <v>87</v>
          </cell>
        </row>
        <row r="14">
          <cell r="D14">
            <v>85</v>
          </cell>
          <cell r="E14">
            <v>87</v>
          </cell>
          <cell r="F14">
            <v>98</v>
          </cell>
        </row>
        <row r="15">
          <cell r="D15">
            <v>85</v>
          </cell>
          <cell r="E15">
            <v>85</v>
          </cell>
          <cell r="F15">
            <v>69</v>
          </cell>
        </row>
        <row r="16">
          <cell r="D16">
            <v>84</v>
          </cell>
          <cell r="E16">
            <v>95</v>
          </cell>
          <cell r="F16">
            <v>85</v>
          </cell>
        </row>
        <row r="17">
          <cell r="D17">
            <v>90</v>
          </cell>
          <cell r="E17">
            <v>85</v>
          </cell>
          <cell r="F17">
            <v>81</v>
          </cell>
        </row>
        <row r="18">
          <cell r="D18">
            <v>90</v>
          </cell>
          <cell r="E18">
            <v>90</v>
          </cell>
          <cell r="F18">
            <v>77</v>
          </cell>
        </row>
        <row r="19">
          <cell r="D19">
            <v>85</v>
          </cell>
          <cell r="E19">
            <v>85</v>
          </cell>
          <cell r="F19">
            <v>95</v>
          </cell>
        </row>
        <row r="20">
          <cell r="D20">
            <v>80</v>
          </cell>
          <cell r="E20">
            <v>85</v>
          </cell>
          <cell r="F20">
            <v>100</v>
          </cell>
        </row>
        <row r="21">
          <cell r="D21">
            <v>90</v>
          </cell>
          <cell r="E21">
            <v>87</v>
          </cell>
          <cell r="F21">
            <v>96</v>
          </cell>
        </row>
        <row r="22">
          <cell r="D22">
            <v>88</v>
          </cell>
          <cell r="E22">
            <v>90</v>
          </cell>
          <cell r="F22">
            <v>69</v>
          </cell>
        </row>
        <row r="23">
          <cell r="D23">
            <v>85</v>
          </cell>
          <cell r="E23">
            <v>83</v>
          </cell>
          <cell r="F23">
            <v>86</v>
          </cell>
        </row>
        <row r="24">
          <cell r="D24">
            <v>85</v>
          </cell>
          <cell r="E24">
            <v>96</v>
          </cell>
          <cell r="F24">
            <v>68</v>
          </cell>
        </row>
        <row r="25">
          <cell r="D25">
            <v>87</v>
          </cell>
          <cell r="E25">
            <v>82</v>
          </cell>
          <cell r="F25">
            <v>95</v>
          </cell>
        </row>
        <row r="26">
          <cell r="D26">
            <v>94</v>
          </cell>
          <cell r="E26">
            <v>95</v>
          </cell>
          <cell r="F26">
            <v>50</v>
          </cell>
        </row>
        <row r="27">
          <cell r="D27">
            <v>89</v>
          </cell>
          <cell r="E27">
            <v>95</v>
          </cell>
          <cell r="F27">
            <v>65</v>
          </cell>
        </row>
        <row r="28">
          <cell r="D28">
            <v>95</v>
          </cell>
          <cell r="E28">
            <v>93</v>
          </cell>
          <cell r="F28">
            <v>68</v>
          </cell>
        </row>
        <row r="29">
          <cell r="D29">
            <v>93</v>
          </cell>
          <cell r="E29">
            <v>95</v>
          </cell>
          <cell r="F29">
            <v>66</v>
          </cell>
        </row>
        <row r="30">
          <cell r="D30">
            <v>90</v>
          </cell>
          <cell r="E30">
            <v>90</v>
          </cell>
          <cell r="F30">
            <v>63</v>
          </cell>
        </row>
        <row r="31">
          <cell r="D31">
            <v>86</v>
          </cell>
          <cell r="E31">
            <v>83</v>
          </cell>
          <cell r="F31">
            <v>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</sheetNames>
    <sheetDataSet>
      <sheetData sheetId="0">
        <row r="10">
          <cell r="D10">
            <v>88</v>
          </cell>
          <cell r="E10">
            <v>88</v>
          </cell>
          <cell r="F10">
            <v>88</v>
          </cell>
          <cell r="G10">
            <v>88</v>
          </cell>
          <cell r="H10">
            <v>88</v>
          </cell>
        </row>
        <row r="11">
          <cell r="D11">
            <v>90</v>
          </cell>
          <cell r="E11">
            <v>90</v>
          </cell>
          <cell r="F11">
            <v>90</v>
          </cell>
          <cell r="G11">
            <v>90</v>
          </cell>
          <cell r="H11">
            <v>90</v>
          </cell>
        </row>
        <row r="12">
          <cell r="D12">
            <v>90</v>
          </cell>
          <cell r="E12">
            <v>90</v>
          </cell>
          <cell r="F12">
            <v>90</v>
          </cell>
          <cell r="G12">
            <v>90</v>
          </cell>
          <cell r="H12">
            <v>90</v>
          </cell>
        </row>
        <row r="13">
          <cell r="D13">
            <v>89</v>
          </cell>
          <cell r="E13">
            <v>89</v>
          </cell>
          <cell r="F13">
            <v>89</v>
          </cell>
          <cell r="G13">
            <v>89</v>
          </cell>
          <cell r="H13">
            <v>89</v>
          </cell>
        </row>
        <row r="14">
          <cell r="D14">
            <v>72.333333333333329</v>
          </cell>
          <cell r="E14">
            <v>72.333333333333329</v>
          </cell>
          <cell r="F14">
            <v>72.333333333333329</v>
          </cell>
          <cell r="G14">
            <v>72.333333333333329</v>
          </cell>
          <cell r="H14">
            <v>72.333333333333329</v>
          </cell>
        </row>
        <row r="15">
          <cell r="D15">
            <v>88</v>
          </cell>
          <cell r="E15">
            <v>88</v>
          </cell>
          <cell r="F15">
            <v>88</v>
          </cell>
          <cell r="G15">
            <v>88</v>
          </cell>
          <cell r="H15">
            <v>88</v>
          </cell>
        </row>
        <row r="16">
          <cell r="D16">
            <v>84.666666666666671</v>
          </cell>
          <cell r="E16">
            <v>84.666666666666671</v>
          </cell>
          <cell r="F16">
            <v>84.666666666666671</v>
          </cell>
          <cell r="G16">
            <v>84.666666666666671</v>
          </cell>
          <cell r="H16">
            <v>84.666666666666671</v>
          </cell>
        </row>
        <row r="17">
          <cell r="D17">
            <v>88.333333333333329</v>
          </cell>
          <cell r="E17">
            <v>88.333333333333329</v>
          </cell>
          <cell r="F17">
            <v>88.333333333333329</v>
          </cell>
          <cell r="G17">
            <v>88.333333333333329</v>
          </cell>
          <cell r="H17">
            <v>88.333333333333329</v>
          </cell>
        </row>
        <row r="18">
          <cell r="D18">
            <v>85.333333333333329</v>
          </cell>
          <cell r="E18">
            <v>85.333333333333329</v>
          </cell>
          <cell r="F18">
            <v>85.333333333333329</v>
          </cell>
          <cell r="G18">
            <v>85.333333333333329</v>
          </cell>
          <cell r="H18">
            <v>85.333333333333329</v>
          </cell>
        </row>
        <row r="19">
          <cell r="D19">
            <v>84.333333333333329</v>
          </cell>
          <cell r="E19">
            <v>84.333333333333329</v>
          </cell>
          <cell r="F19">
            <v>84.333333333333329</v>
          </cell>
          <cell r="G19">
            <v>84.333333333333329</v>
          </cell>
          <cell r="H19">
            <v>84.333333333333329</v>
          </cell>
        </row>
        <row r="20">
          <cell r="D20">
            <v>80</v>
          </cell>
          <cell r="E20">
            <v>80</v>
          </cell>
          <cell r="F20">
            <v>80</v>
          </cell>
          <cell r="G20">
            <v>80</v>
          </cell>
          <cell r="H20">
            <v>80</v>
          </cell>
        </row>
        <row r="21">
          <cell r="D21">
            <v>77.333333333333329</v>
          </cell>
          <cell r="E21">
            <v>77.333333333333329</v>
          </cell>
          <cell r="F21">
            <v>77.333333333333329</v>
          </cell>
          <cell r="G21">
            <v>77.333333333333329</v>
          </cell>
          <cell r="H21">
            <v>77.333333333333329</v>
          </cell>
        </row>
        <row r="22">
          <cell r="D22">
            <v>86</v>
          </cell>
          <cell r="E22">
            <v>86</v>
          </cell>
          <cell r="F22">
            <v>86</v>
          </cell>
          <cell r="G22">
            <v>86</v>
          </cell>
          <cell r="H22">
            <v>86</v>
          </cell>
        </row>
        <row r="23">
          <cell r="D23">
            <v>85.666666666666671</v>
          </cell>
          <cell r="E23">
            <v>85.666666666666671</v>
          </cell>
          <cell r="F23">
            <v>85.666666666666671</v>
          </cell>
          <cell r="G23">
            <v>85.666666666666671</v>
          </cell>
          <cell r="H23">
            <v>85.666666666666671</v>
          </cell>
        </row>
        <row r="24">
          <cell r="D24">
            <v>87.333333333333329</v>
          </cell>
          <cell r="E24">
            <v>87.333333333333329</v>
          </cell>
          <cell r="F24">
            <v>87.333333333333329</v>
          </cell>
          <cell r="G24">
            <v>87.333333333333329</v>
          </cell>
          <cell r="H24">
            <v>87.333333333333329</v>
          </cell>
        </row>
        <row r="25">
          <cell r="D25">
            <v>78.333333333333329</v>
          </cell>
          <cell r="E25">
            <v>78.333333333333329</v>
          </cell>
          <cell r="F25">
            <v>78.333333333333329</v>
          </cell>
          <cell r="G25">
            <v>78.333333333333329</v>
          </cell>
          <cell r="H25">
            <v>78.333333333333329</v>
          </cell>
        </row>
        <row r="26">
          <cell r="D26">
            <v>89.333333333333329</v>
          </cell>
          <cell r="E26">
            <v>89.333333333333329</v>
          </cell>
          <cell r="F26">
            <v>89.333333333333329</v>
          </cell>
          <cell r="G26">
            <v>89.333333333333329</v>
          </cell>
          <cell r="H26">
            <v>89.333333333333329</v>
          </cell>
        </row>
        <row r="27">
          <cell r="D27">
            <v>77.666666666666671</v>
          </cell>
          <cell r="E27">
            <v>77.666666666666671</v>
          </cell>
          <cell r="F27">
            <v>77.666666666666671</v>
          </cell>
          <cell r="G27">
            <v>77.666666666666671</v>
          </cell>
          <cell r="H27">
            <v>77.666666666666671</v>
          </cell>
        </row>
        <row r="28">
          <cell r="D28">
            <v>88.333333333333329</v>
          </cell>
          <cell r="E28">
            <v>88.333333333333329</v>
          </cell>
          <cell r="F28">
            <v>88.333333333333329</v>
          </cell>
          <cell r="G28">
            <v>88.333333333333329</v>
          </cell>
          <cell r="H28">
            <v>88.333333333333329</v>
          </cell>
        </row>
        <row r="29">
          <cell r="D29">
            <v>80.666666666666671</v>
          </cell>
          <cell r="E29">
            <v>80.666666666666671</v>
          </cell>
          <cell r="F29">
            <v>80.666666666666671</v>
          </cell>
          <cell r="G29">
            <v>80.666666666666671</v>
          </cell>
          <cell r="H29">
            <v>80.666666666666671</v>
          </cell>
        </row>
        <row r="30">
          <cell r="D30">
            <v>89</v>
          </cell>
          <cell r="E30">
            <v>89</v>
          </cell>
          <cell r="F30">
            <v>89</v>
          </cell>
          <cell r="G30">
            <v>89</v>
          </cell>
          <cell r="H30">
            <v>89</v>
          </cell>
        </row>
        <row r="31">
          <cell r="D31">
            <v>88.666666666666671</v>
          </cell>
          <cell r="E31">
            <v>88.666666666666671</v>
          </cell>
          <cell r="F31">
            <v>88.666666666666671</v>
          </cell>
          <cell r="G31">
            <v>88.666666666666671</v>
          </cell>
          <cell r="H31">
            <v>88.666666666666671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ED5D-0C4C-4941-937D-ABFB170C0FA1}">
  <dimension ref="A1:E9"/>
  <sheetViews>
    <sheetView workbookViewId="0">
      <selection activeCell="H7" sqref="H7"/>
    </sheetView>
  </sheetViews>
  <sheetFormatPr defaultRowHeight="14.5"/>
  <sheetData>
    <row r="1" spans="1:5" ht="25.5">
      <c r="A1" s="51" t="s">
        <v>169</v>
      </c>
    </row>
    <row r="3" spans="1:5">
      <c r="A3" s="52" t="s">
        <v>170</v>
      </c>
      <c r="B3" s="52"/>
      <c r="C3" s="52"/>
      <c r="D3" s="52"/>
      <c r="E3" s="52"/>
    </row>
    <row r="4" spans="1:5">
      <c r="A4" s="52" t="s">
        <v>172</v>
      </c>
      <c r="B4" s="52"/>
      <c r="C4" s="52"/>
      <c r="D4" s="52"/>
      <c r="E4" s="52"/>
    </row>
    <row r="5" spans="1:5">
      <c r="A5" s="52" t="s">
        <v>171</v>
      </c>
      <c r="B5" s="52"/>
      <c r="C5" s="52"/>
      <c r="D5" s="52"/>
      <c r="E5" s="52"/>
    </row>
    <row r="7" spans="1:5">
      <c r="A7" t="s">
        <v>173</v>
      </c>
    </row>
    <row r="8" spans="1:5">
      <c r="A8" t="s">
        <v>174</v>
      </c>
    </row>
    <row r="9" spans="1:5">
      <c r="A9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abSelected="1" topLeftCell="A8" zoomScale="70" zoomScaleNormal="70" workbookViewId="0">
      <selection activeCell="R28" sqref="R28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"/>
      <c r="R1" s="3"/>
    </row>
    <row r="2" spans="1:18" ht="17.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39" t="s">
        <v>2</v>
      </c>
      <c r="B8" s="40" t="s">
        <v>3</v>
      </c>
      <c r="C8" s="41" t="s">
        <v>25</v>
      </c>
      <c r="D8" s="41"/>
      <c r="E8" s="41"/>
      <c r="F8" s="41"/>
      <c r="G8" s="41"/>
      <c r="H8" s="42" t="s">
        <v>26</v>
      </c>
      <c r="I8" s="42"/>
      <c r="J8" s="42"/>
      <c r="K8" s="42"/>
      <c r="L8" s="42"/>
      <c r="M8" s="14" t="s">
        <v>9</v>
      </c>
      <c r="N8" s="43" t="s">
        <v>23</v>
      </c>
      <c r="O8" s="44"/>
      <c r="P8" s="10" t="s">
        <v>10</v>
      </c>
      <c r="R8" s="1" t="s">
        <v>16</v>
      </c>
    </row>
    <row r="9" spans="1:18">
      <c r="A9" s="39"/>
      <c r="B9" s="40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30</v>
      </c>
      <c r="C10" s="22">
        <f>[3]Worksheet!D10</f>
        <v>90</v>
      </c>
      <c r="D10" s="22">
        <f>[3]Worksheet!E10</f>
        <v>90</v>
      </c>
      <c r="E10" s="12"/>
      <c r="F10" s="19"/>
      <c r="G10" s="19"/>
      <c r="H10" s="22">
        <f>[3]Worksheet!F10</f>
        <v>80</v>
      </c>
      <c r="I10" s="22">
        <f>[3]Worksheet!G10</f>
        <v>80</v>
      </c>
      <c r="J10" s="13"/>
      <c r="K10" s="13"/>
      <c r="L10" s="13"/>
      <c r="M10" s="18">
        <f>[3]Worksheet!H10</f>
        <v>70</v>
      </c>
      <c r="N10" s="18">
        <f>AVERAGE(C10:D10)</f>
        <v>90</v>
      </c>
      <c r="O10" s="18">
        <f>AVERAGE(H10:I10)</f>
        <v>80</v>
      </c>
      <c r="P10" s="35">
        <f>AVERAGE(M10:O10)</f>
        <v>80</v>
      </c>
      <c r="R10" s="2" t="s">
        <v>17</v>
      </c>
    </row>
    <row r="11" spans="1:18">
      <c r="A11" s="4">
        <v>2</v>
      </c>
      <c r="B11" s="29" t="s">
        <v>31</v>
      </c>
      <c r="C11" s="22">
        <f>[3]Worksheet!D11</f>
        <v>90</v>
      </c>
      <c r="D11" s="22">
        <f>[3]Worksheet!E11</f>
        <v>90</v>
      </c>
      <c r="E11" s="6"/>
      <c r="F11" s="20"/>
      <c r="G11" s="20"/>
      <c r="H11" s="22">
        <f>[3]Worksheet!F11</f>
        <v>92</v>
      </c>
      <c r="I11" s="22">
        <f>[3]Worksheet!G11</f>
        <v>92</v>
      </c>
      <c r="J11" s="4"/>
      <c r="K11" s="4"/>
      <c r="L11" s="4"/>
      <c r="M11" s="18">
        <f>[3]Worksheet!H11</f>
        <v>87</v>
      </c>
      <c r="N11" s="18">
        <f t="shared" ref="N11:N31" si="0">AVERAGE(C11:D11)</f>
        <v>90</v>
      </c>
      <c r="O11" s="18">
        <f t="shared" ref="O11:O31" si="1">AVERAGE(H11:I11)</f>
        <v>92</v>
      </c>
      <c r="P11" s="35">
        <f t="shared" ref="P11:P31" si="2">AVERAGE(M11:O11)</f>
        <v>89.666666666666671</v>
      </c>
      <c r="R11" s="2" t="s">
        <v>19</v>
      </c>
    </row>
    <row r="12" spans="1:18">
      <c r="A12" s="4">
        <v>3</v>
      </c>
      <c r="B12" s="29" t="s">
        <v>32</v>
      </c>
      <c r="C12" s="22">
        <f>[3]Worksheet!D12</f>
        <v>90</v>
      </c>
      <c r="D12" s="22">
        <f>[3]Worksheet!E12</f>
        <v>90</v>
      </c>
      <c r="E12" s="6"/>
      <c r="F12" s="20"/>
      <c r="G12" s="20"/>
      <c r="H12" s="22">
        <f>[3]Worksheet!F12</f>
        <v>84</v>
      </c>
      <c r="I12" s="22">
        <f>[3]Worksheet!G12</f>
        <v>84</v>
      </c>
      <c r="J12" s="4"/>
      <c r="K12" s="4"/>
      <c r="L12" s="4"/>
      <c r="M12" s="18">
        <f>[3]Worksheet!H12</f>
        <v>75</v>
      </c>
      <c r="N12" s="18">
        <f t="shared" si="0"/>
        <v>90</v>
      </c>
      <c r="O12" s="18">
        <f t="shared" si="1"/>
        <v>84</v>
      </c>
      <c r="P12" s="35">
        <f t="shared" si="2"/>
        <v>83</v>
      </c>
      <c r="R12" s="2" t="s">
        <v>20</v>
      </c>
    </row>
    <row r="13" spans="1:18">
      <c r="A13" s="4">
        <v>4</v>
      </c>
      <c r="B13" s="29" t="s">
        <v>33</v>
      </c>
      <c r="C13" s="22">
        <f>[3]Worksheet!D13</f>
        <v>88</v>
      </c>
      <c r="D13" s="22">
        <f>[3]Worksheet!E13</f>
        <v>88</v>
      </c>
      <c r="E13" s="6"/>
      <c r="F13" s="20"/>
      <c r="G13" s="20"/>
      <c r="H13" s="22">
        <f>[3]Worksheet!F13</f>
        <v>90</v>
      </c>
      <c r="I13" s="22">
        <f>[3]Worksheet!G13</f>
        <v>90</v>
      </c>
      <c r="J13" s="4"/>
      <c r="K13" s="4"/>
      <c r="L13" s="4"/>
      <c r="M13" s="18">
        <f>[3]Worksheet!H13</f>
        <v>73</v>
      </c>
      <c r="N13" s="18">
        <f t="shared" si="0"/>
        <v>88</v>
      </c>
      <c r="O13" s="18">
        <f t="shared" si="1"/>
        <v>90</v>
      </c>
      <c r="P13" s="35">
        <f t="shared" si="2"/>
        <v>83.666666666666671</v>
      </c>
      <c r="R13" s="2" t="s">
        <v>21</v>
      </c>
    </row>
    <row r="14" spans="1:18">
      <c r="A14" s="4">
        <v>5</v>
      </c>
      <c r="B14" s="29" t="s">
        <v>127</v>
      </c>
      <c r="C14" s="22">
        <f>[3]Worksheet!D14</f>
        <v>90</v>
      </c>
      <c r="D14" s="22">
        <f>[3]Worksheet!E14</f>
        <v>90</v>
      </c>
      <c r="E14" s="6"/>
      <c r="F14" s="20"/>
      <c r="G14" s="20"/>
      <c r="H14" s="22">
        <f>[3]Worksheet!F14</f>
        <v>90</v>
      </c>
      <c r="I14" s="22">
        <f>[3]Worksheet!G14</f>
        <v>90</v>
      </c>
      <c r="J14" s="4"/>
      <c r="K14" s="4"/>
      <c r="L14" s="4"/>
      <c r="M14" s="18">
        <f>[3]Worksheet!H14</f>
        <v>94</v>
      </c>
      <c r="N14" s="18">
        <f t="shared" si="0"/>
        <v>90</v>
      </c>
      <c r="O14" s="18">
        <f t="shared" si="1"/>
        <v>90</v>
      </c>
      <c r="P14" s="35">
        <f t="shared" si="2"/>
        <v>91.333333333333329</v>
      </c>
      <c r="R14" s="2" t="s">
        <v>12</v>
      </c>
    </row>
    <row r="15" spans="1:18">
      <c r="A15" s="4">
        <v>6</v>
      </c>
      <c r="B15" s="29" t="s">
        <v>128</v>
      </c>
      <c r="C15" s="22">
        <f>[3]Worksheet!D15</f>
        <v>90</v>
      </c>
      <c r="D15" s="22">
        <f>[3]Worksheet!E15</f>
        <v>90</v>
      </c>
      <c r="E15" s="18"/>
      <c r="F15" s="18"/>
      <c r="G15" s="20"/>
      <c r="H15" s="22">
        <f>[3]Worksheet!F15</f>
        <v>90</v>
      </c>
      <c r="I15" s="22">
        <f>[3]Worksheet!G15</f>
        <v>90</v>
      </c>
      <c r="J15" s="4"/>
      <c r="K15" s="4"/>
      <c r="L15" s="4"/>
      <c r="M15" s="18">
        <f>[3]Worksheet!H15</f>
        <v>87</v>
      </c>
      <c r="N15" s="18">
        <f t="shared" si="0"/>
        <v>90</v>
      </c>
      <c r="O15" s="18">
        <f t="shared" si="1"/>
        <v>90</v>
      </c>
      <c r="P15" s="35">
        <f t="shared" si="2"/>
        <v>89</v>
      </c>
      <c r="R15" s="5"/>
    </row>
    <row r="16" spans="1:18">
      <c r="A16" s="4">
        <v>7</v>
      </c>
      <c r="B16" s="29" t="s">
        <v>34</v>
      </c>
      <c r="C16" s="22">
        <f>[3]Worksheet!D16</f>
        <v>87</v>
      </c>
      <c r="D16" s="22">
        <f>[3]Worksheet!E16</f>
        <v>87</v>
      </c>
      <c r="E16" s="6"/>
      <c r="F16" s="20"/>
      <c r="G16" s="20"/>
      <c r="H16" s="22">
        <f>[3]Worksheet!F16</f>
        <v>90</v>
      </c>
      <c r="I16" s="22">
        <f>[3]Worksheet!G16</f>
        <v>90</v>
      </c>
      <c r="J16" s="4"/>
      <c r="K16" s="4"/>
      <c r="L16" s="4"/>
      <c r="M16" s="18">
        <f>[3]Worksheet!H16</f>
        <v>97</v>
      </c>
      <c r="N16" s="18">
        <f t="shared" si="0"/>
        <v>87</v>
      </c>
      <c r="O16" s="18">
        <f t="shared" si="1"/>
        <v>90</v>
      </c>
      <c r="P16" s="35">
        <f t="shared" si="2"/>
        <v>91.333333333333329</v>
      </c>
      <c r="R16" s="5"/>
    </row>
    <row r="17" spans="1:18">
      <c r="A17" s="4">
        <v>8</v>
      </c>
      <c r="B17" s="29" t="s">
        <v>129</v>
      </c>
      <c r="C17" s="22">
        <f>[3]Worksheet!D17</f>
        <v>87</v>
      </c>
      <c r="D17" s="22">
        <f>[3]Worksheet!E17</f>
        <v>87</v>
      </c>
      <c r="E17" s="6"/>
      <c r="F17" s="20"/>
      <c r="G17" s="20"/>
      <c r="H17" s="22">
        <f>[3]Worksheet!F17</f>
        <v>96</v>
      </c>
      <c r="I17" s="22">
        <f>[3]Worksheet!G17</f>
        <v>96</v>
      </c>
      <c r="J17" s="4"/>
      <c r="K17" s="4"/>
      <c r="L17" s="4"/>
      <c r="M17" s="18">
        <f>[3]Worksheet!H17</f>
        <v>94</v>
      </c>
      <c r="N17" s="18">
        <f t="shared" si="0"/>
        <v>87</v>
      </c>
      <c r="O17" s="18">
        <f t="shared" si="1"/>
        <v>96</v>
      </c>
      <c r="P17" s="35">
        <f t="shared" si="2"/>
        <v>92.333333333333329</v>
      </c>
      <c r="R17" s="5"/>
    </row>
    <row r="18" spans="1:18">
      <c r="A18" s="4">
        <v>9</v>
      </c>
      <c r="B18" s="29" t="s">
        <v>130</v>
      </c>
      <c r="C18" s="22">
        <f>[3]Worksheet!D18</f>
        <v>87</v>
      </c>
      <c r="D18" s="22">
        <f>[3]Worksheet!E18</f>
        <v>87</v>
      </c>
      <c r="E18" s="6"/>
      <c r="F18" s="20"/>
      <c r="G18" s="20"/>
      <c r="H18" s="22">
        <f>[3]Worksheet!F18</f>
        <v>84</v>
      </c>
      <c r="I18" s="22">
        <f>[3]Worksheet!G18</f>
        <v>84</v>
      </c>
      <c r="J18" s="4"/>
      <c r="K18" s="4"/>
      <c r="L18" s="4"/>
      <c r="M18" s="18">
        <f>[3]Worksheet!H18</f>
        <v>97</v>
      </c>
      <c r="N18" s="18">
        <f t="shared" si="0"/>
        <v>87</v>
      </c>
      <c r="O18" s="18">
        <f t="shared" si="1"/>
        <v>84</v>
      </c>
      <c r="P18" s="35">
        <f t="shared" si="2"/>
        <v>89.333333333333329</v>
      </c>
      <c r="R18" s="5"/>
    </row>
    <row r="19" spans="1:18">
      <c r="A19" s="15">
        <v>10</v>
      </c>
      <c r="B19" s="29" t="s">
        <v>35</v>
      </c>
      <c r="C19" s="22">
        <f>[3]Worksheet!D19</f>
        <v>85</v>
      </c>
      <c r="D19" s="22">
        <f>[3]Worksheet!E19</f>
        <v>85</v>
      </c>
      <c r="E19" s="16"/>
      <c r="F19" s="18"/>
      <c r="G19" s="18"/>
      <c r="H19" s="22">
        <f>[3]Worksheet!F19</f>
        <v>85</v>
      </c>
      <c r="I19" s="22">
        <f>[3]Worksheet!G19</f>
        <v>85</v>
      </c>
      <c r="J19" s="15"/>
      <c r="K19" s="15"/>
      <c r="L19" s="15"/>
      <c r="M19" s="18">
        <f>[3]Worksheet!H19</f>
        <v>86</v>
      </c>
      <c r="N19" s="18">
        <f t="shared" si="0"/>
        <v>85</v>
      </c>
      <c r="O19" s="18">
        <f t="shared" si="1"/>
        <v>85</v>
      </c>
      <c r="P19" s="35">
        <f t="shared" si="2"/>
        <v>85.333333333333329</v>
      </c>
      <c r="R19" s="5"/>
    </row>
    <row r="20" spans="1:18">
      <c r="A20" s="4">
        <v>11</v>
      </c>
      <c r="B20" s="29" t="s">
        <v>36</v>
      </c>
      <c r="C20" s="22">
        <f>[3]Worksheet!D20</f>
        <v>87</v>
      </c>
      <c r="D20" s="22">
        <f>[3]Worksheet!E20</f>
        <v>87</v>
      </c>
      <c r="E20" s="6"/>
      <c r="F20" s="20"/>
      <c r="G20" s="20"/>
      <c r="H20" s="22">
        <f>[3]Worksheet!F20</f>
        <v>87</v>
      </c>
      <c r="I20" s="22">
        <f>[3]Worksheet!G20</f>
        <v>87</v>
      </c>
      <c r="J20" s="4"/>
      <c r="K20" s="4"/>
      <c r="L20" s="4"/>
      <c r="M20" s="18">
        <f>[3]Worksheet!H20</f>
        <v>96</v>
      </c>
      <c r="N20" s="18">
        <f t="shared" si="0"/>
        <v>87</v>
      </c>
      <c r="O20" s="18">
        <f t="shared" si="1"/>
        <v>87</v>
      </c>
      <c r="P20" s="35">
        <f t="shared" si="2"/>
        <v>90</v>
      </c>
      <c r="R20" s="5"/>
    </row>
    <row r="21" spans="1:18">
      <c r="A21" s="4">
        <v>12</v>
      </c>
      <c r="B21" s="29" t="s">
        <v>131</v>
      </c>
      <c r="C21" s="22">
        <f>[3]Worksheet!D21</f>
        <v>86</v>
      </c>
      <c r="D21" s="22">
        <f>[3]Worksheet!E21</f>
        <v>86</v>
      </c>
      <c r="E21" s="6"/>
      <c r="F21" s="20"/>
      <c r="G21" s="20"/>
      <c r="H21" s="22">
        <f>[3]Worksheet!F21</f>
        <v>91</v>
      </c>
      <c r="I21" s="22">
        <f>[3]Worksheet!G21</f>
        <v>91</v>
      </c>
      <c r="J21" s="4"/>
      <c r="K21" s="4"/>
      <c r="L21" s="4"/>
      <c r="M21" s="18">
        <f>[3]Worksheet!H21</f>
        <v>86</v>
      </c>
      <c r="N21" s="18">
        <f t="shared" si="0"/>
        <v>86</v>
      </c>
      <c r="O21" s="18">
        <f t="shared" si="1"/>
        <v>91</v>
      </c>
      <c r="P21" s="35">
        <f t="shared" si="2"/>
        <v>87.666666666666671</v>
      </c>
      <c r="R21" s="5"/>
    </row>
    <row r="22" spans="1:18">
      <c r="A22" s="4">
        <v>13</v>
      </c>
      <c r="B22" s="29" t="s">
        <v>37</v>
      </c>
      <c r="C22" s="22">
        <f>[3]Worksheet!D22</f>
        <v>90</v>
      </c>
      <c r="D22" s="22">
        <f>[3]Worksheet!E22</f>
        <v>90</v>
      </c>
      <c r="E22" s="6"/>
      <c r="F22" s="20"/>
      <c r="G22" s="20"/>
      <c r="H22" s="22">
        <f>[3]Worksheet!F22</f>
        <v>80</v>
      </c>
      <c r="I22" s="22">
        <f>[3]Worksheet!G22</f>
        <v>80</v>
      </c>
      <c r="J22" s="4"/>
      <c r="K22" s="4"/>
      <c r="L22" s="4"/>
      <c r="M22" s="18">
        <f>[3]Worksheet!H22</f>
        <v>97</v>
      </c>
      <c r="N22" s="18">
        <f t="shared" si="0"/>
        <v>90</v>
      </c>
      <c r="O22" s="18">
        <f t="shared" si="1"/>
        <v>80</v>
      </c>
      <c r="P22" s="35">
        <f t="shared" si="2"/>
        <v>89</v>
      </c>
      <c r="R22" s="5"/>
    </row>
    <row r="23" spans="1:18">
      <c r="A23" s="4">
        <v>14</v>
      </c>
      <c r="B23" s="29" t="s">
        <v>132</v>
      </c>
      <c r="C23" s="22">
        <f>[3]Worksheet!D23</f>
        <v>85</v>
      </c>
      <c r="D23" s="22">
        <f>[3]Worksheet!E23</f>
        <v>85</v>
      </c>
      <c r="E23" s="6"/>
      <c r="F23" s="20"/>
      <c r="G23" s="20"/>
      <c r="H23" s="22">
        <f>[3]Worksheet!F23</f>
        <v>85</v>
      </c>
      <c r="I23" s="22">
        <f>[3]Worksheet!G23</f>
        <v>85</v>
      </c>
      <c r="J23" s="4"/>
      <c r="K23" s="4"/>
      <c r="L23" s="4"/>
      <c r="M23" s="18">
        <f>[3]Worksheet!H23</f>
        <v>95</v>
      </c>
      <c r="N23" s="18">
        <f t="shared" si="0"/>
        <v>85</v>
      </c>
      <c r="O23" s="18">
        <f t="shared" si="1"/>
        <v>85</v>
      </c>
      <c r="P23" s="35">
        <f t="shared" si="2"/>
        <v>88.333333333333329</v>
      </c>
      <c r="R23" s="5"/>
    </row>
    <row r="24" spans="1:18">
      <c r="A24" s="4">
        <v>15</v>
      </c>
      <c r="B24" s="29" t="s">
        <v>38</v>
      </c>
      <c r="C24" s="22">
        <f>[3]Worksheet!D24</f>
        <v>90</v>
      </c>
      <c r="D24" s="22">
        <f>[3]Worksheet!E24</f>
        <v>90</v>
      </c>
      <c r="E24" s="6"/>
      <c r="F24" s="20"/>
      <c r="G24" s="20"/>
      <c r="H24" s="22">
        <f>[3]Worksheet!F24</f>
        <v>90</v>
      </c>
      <c r="I24" s="22">
        <f>[3]Worksheet!G24</f>
        <v>90</v>
      </c>
      <c r="J24" s="4"/>
      <c r="K24" s="4"/>
      <c r="L24" s="4"/>
      <c r="M24" s="18">
        <f>[3]Worksheet!H24</f>
        <v>69</v>
      </c>
      <c r="N24" s="18">
        <f t="shared" si="0"/>
        <v>90</v>
      </c>
      <c r="O24" s="18">
        <f t="shared" si="1"/>
        <v>90</v>
      </c>
      <c r="P24" s="35">
        <f t="shared" si="2"/>
        <v>83</v>
      </c>
      <c r="R24" s="5"/>
    </row>
    <row r="25" spans="1:18">
      <c r="A25" s="4">
        <v>16</v>
      </c>
      <c r="B25" s="29" t="s">
        <v>133</v>
      </c>
      <c r="C25" s="22">
        <f>[3]Worksheet!D25</f>
        <v>89</v>
      </c>
      <c r="D25" s="22">
        <f>[3]Worksheet!E25</f>
        <v>89</v>
      </c>
      <c r="E25" s="6"/>
      <c r="F25" s="20"/>
      <c r="G25" s="20"/>
      <c r="H25" s="22">
        <f>[3]Worksheet!F25</f>
        <v>90</v>
      </c>
      <c r="I25" s="22">
        <f>[3]Worksheet!G25</f>
        <v>90</v>
      </c>
      <c r="J25" s="4"/>
      <c r="K25" s="4"/>
      <c r="L25" s="4"/>
      <c r="M25" s="18">
        <f>[3]Worksheet!H25</f>
        <v>86</v>
      </c>
      <c r="N25" s="18">
        <f t="shared" si="0"/>
        <v>89</v>
      </c>
      <c r="O25" s="18">
        <f t="shared" si="1"/>
        <v>90</v>
      </c>
      <c r="P25" s="35">
        <f t="shared" si="2"/>
        <v>88.333333333333329</v>
      </c>
      <c r="R25" s="5"/>
    </row>
    <row r="26" spans="1:18">
      <c r="A26" s="4">
        <v>17</v>
      </c>
      <c r="B26" s="29" t="s">
        <v>39</v>
      </c>
      <c r="C26" s="22">
        <f>[3]Worksheet!D26</f>
        <v>90</v>
      </c>
      <c r="D26" s="22">
        <f>[3]Worksheet!E26</f>
        <v>90</v>
      </c>
      <c r="E26" s="6"/>
      <c r="F26" s="20"/>
      <c r="G26" s="20"/>
      <c r="H26" s="22">
        <f>[3]Worksheet!F26</f>
        <v>87</v>
      </c>
      <c r="I26" s="22">
        <f>[3]Worksheet!G26</f>
        <v>87</v>
      </c>
      <c r="J26" s="4"/>
      <c r="K26" s="4"/>
      <c r="L26" s="4"/>
      <c r="M26" s="18">
        <f>[3]Worksheet!H26</f>
        <v>91</v>
      </c>
      <c r="N26" s="18">
        <f t="shared" si="0"/>
        <v>90</v>
      </c>
      <c r="O26" s="18">
        <f t="shared" si="1"/>
        <v>87</v>
      </c>
      <c r="P26" s="35">
        <f t="shared" si="2"/>
        <v>89.333333333333329</v>
      </c>
      <c r="R26" s="5"/>
    </row>
    <row r="27" spans="1:18">
      <c r="A27" s="4">
        <v>18</v>
      </c>
      <c r="B27" s="29" t="s">
        <v>134</v>
      </c>
      <c r="C27" s="22">
        <f>[3]Worksheet!D27</f>
        <v>91</v>
      </c>
      <c r="D27" s="22">
        <f>[3]Worksheet!E27</f>
        <v>91</v>
      </c>
      <c r="E27" s="6"/>
      <c r="F27" s="20"/>
      <c r="G27" s="20"/>
      <c r="H27" s="22">
        <f>[3]Worksheet!F27</f>
        <v>93</v>
      </c>
      <c r="I27" s="22">
        <f>[3]Worksheet!G27</f>
        <v>93</v>
      </c>
      <c r="J27" s="4"/>
      <c r="K27" s="4"/>
      <c r="L27" s="4"/>
      <c r="M27" s="18">
        <f>[3]Worksheet!H27</f>
        <v>76</v>
      </c>
      <c r="N27" s="18">
        <f t="shared" si="0"/>
        <v>91</v>
      </c>
      <c r="O27" s="18">
        <f t="shared" si="1"/>
        <v>93</v>
      </c>
      <c r="P27" s="35">
        <f t="shared" si="2"/>
        <v>86.666666666666671</v>
      </c>
      <c r="R27" s="5"/>
    </row>
    <row r="28" spans="1:18">
      <c r="A28" s="4">
        <v>19</v>
      </c>
      <c r="B28" s="29" t="s">
        <v>40</v>
      </c>
      <c r="C28" s="22">
        <f>[3]Worksheet!D28</f>
        <v>95</v>
      </c>
      <c r="D28" s="22">
        <f>[3]Worksheet!E28</f>
        <v>95</v>
      </c>
      <c r="E28" s="6"/>
      <c r="F28" s="20"/>
      <c r="G28" s="20"/>
      <c r="H28" s="22">
        <f>[3]Worksheet!F28</f>
        <v>95</v>
      </c>
      <c r="I28" s="22">
        <f>[3]Worksheet!G28</f>
        <v>95</v>
      </c>
      <c r="J28" s="4"/>
      <c r="K28" s="4"/>
      <c r="L28" s="4"/>
      <c r="M28" s="18">
        <f>[3]Worksheet!H28</f>
        <v>40</v>
      </c>
      <c r="N28" s="18">
        <f t="shared" si="0"/>
        <v>95</v>
      </c>
      <c r="O28" s="18">
        <f t="shared" si="1"/>
        <v>95</v>
      </c>
      <c r="P28" s="35">
        <f t="shared" si="2"/>
        <v>76.666666666666671</v>
      </c>
      <c r="R28" s="5"/>
    </row>
    <row r="29" spans="1:18">
      <c r="A29" s="4">
        <v>20</v>
      </c>
      <c r="B29" s="29" t="s">
        <v>41</v>
      </c>
      <c r="C29" s="22">
        <f>[3]Worksheet!D29</f>
        <v>92</v>
      </c>
      <c r="D29" s="22">
        <f>[3]Worksheet!E29</f>
        <v>92</v>
      </c>
      <c r="E29" s="6"/>
      <c r="F29" s="20"/>
      <c r="G29" s="20"/>
      <c r="H29" s="22">
        <f>[3]Worksheet!F29</f>
        <v>98</v>
      </c>
      <c r="I29" s="22">
        <f>[3]Worksheet!G29</f>
        <v>98</v>
      </c>
      <c r="J29" s="4"/>
      <c r="K29" s="4"/>
      <c r="L29" s="4"/>
      <c r="M29" s="18">
        <f>[3]Worksheet!H29</f>
        <v>48</v>
      </c>
      <c r="N29" s="18">
        <f t="shared" si="0"/>
        <v>92</v>
      </c>
      <c r="O29" s="18">
        <f t="shared" si="1"/>
        <v>98</v>
      </c>
      <c r="P29" s="35">
        <f t="shared" si="2"/>
        <v>79.333333333333329</v>
      </c>
      <c r="R29" s="5"/>
    </row>
    <row r="30" spans="1:18">
      <c r="A30" s="4">
        <v>21</v>
      </c>
      <c r="B30" s="29" t="s">
        <v>135</v>
      </c>
      <c r="C30" s="22">
        <f>[3]Worksheet!D30</f>
        <v>87</v>
      </c>
      <c r="D30" s="22">
        <f>[3]Worksheet!E30</f>
        <v>87</v>
      </c>
      <c r="E30" s="6"/>
      <c r="F30" s="20"/>
      <c r="G30" s="20"/>
      <c r="H30" s="22">
        <f>[3]Worksheet!F30</f>
        <v>87</v>
      </c>
      <c r="I30" s="22">
        <f>[3]Worksheet!G30</f>
        <v>87</v>
      </c>
      <c r="J30" s="4"/>
      <c r="K30" s="4"/>
      <c r="L30" s="4"/>
      <c r="M30" s="18">
        <f>[3]Worksheet!H30</f>
        <v>75</v>
      </c>
      <c r="N30" s="18">
        <f t="shared" si="0"/>
        <v>87</v>
      </c>
      <c r="O30" s="18">
        <f t="shared" si="1"/>
        <v>87</v>
      </c>
      <c r="P30" s="35">
        <f t="shared" si="2"/>
        <v>83</v>
      </c>
      <c r="R30" s="5"/>
    </row>
    <row r="31" spans="1:18">
      <c r="A31" s="4">
        <v>22</v>
      </c>
      <c r="B31" s="29" t="s">
        <v>42</v>
      </c>
      <c r="C31" s="22">
        <f>[3]Worksheet!D31</f>
        <v>90</v>
      </c>
      <c r="D31" s="22">
        <f>[3]Worksheet!E31</f>
        <v>90</v>
      </c>
      <c r="E31" s="6"/>
      <c r="F31" s="20"/>
      <c r="G31" s="20"/>
      <c r="H31" s="22">
        <f>[3]Worksheet!F31</f>
        <v>90</v>
      </c>
      <c r="I31" s="22">
        <f>[3]Worksheet!G31</f>
        <v>90</v>
      </c>
      <c r="J31" s="4"/>
      <c r="K31" s="4"/>
      <c r="L31" s="4"/>
      <c r="M31" s="18">
        <f>[3]Worksheet!H31</f>
        <v>93</v>
      </c>
      <c r="N31" s="18">
        <f t="shared" si="0"/>
        <v>90</v>
      </c>
      <c r="O31" s="18">
        <f t="shared" si="1"/>
        <v>90</v>
      </c>
      <c r="P31" s="35">
        <f t="shared" si="2"/>
        <v>91</v>
      </c>
      <c r="R31" s="5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1"/>
      <c r="O32" s="3"/>
      <c r="P32" s="3"/>
      <c r="Q32" s="3"/>
      <c r="R32" s="3"/>
    </row>
    <row r="34" spans="14:14">
      <c r="N34" s="2" t="s">
        <v>76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A6" zoomScale="70" zoomScaleNormal="70" workbookViewId="0">
      <selection activeCell="B30" sqref="B30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"/>
      <c r="R1" s="3"/>
    </row>
    <row r="2" spans="1:18" ht="17.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39" t="s">
        <v>2</v>
      </c>
      <c r="B8" s="40" t="s">
        <v>3</v>
      </c>
      <c r="C8" s="41" t="s">
        <v>25</v>
      </c>
      <c r="D8" s="41"/>
      <c r="E8" s="41"/>
      <c r="F8" s="41"/>
      <c r="G8" s="41"/>
      <c r="H8" s="42" t="s">
        <v>26</v>
      </c>
      <c r="I8" s="42"/>
      <c r="J8" s="42"/>
      <c r="K8" s="42"/>
      <c r="L8" s="42"/>
      <c r="M8" s="14" t="s">
        <v>9</v>
      </c>
      <c r="N8" s="43" t="s">
        <v>23</v>
      </c>
      <c r="O8" s="44"/>
      <c r="P8" s="10" t="s">
        <v>10</v>
      </c>
      <c r="R8" s="1" t="s">
        <v>16</v>
      </c>
    </row>
    <row r="9" spans="1:18">
      <c r="A9" s="39"/>
      <c r="B9" s="40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43</v>
      </c>
      <c r="C10" s="22">
        <f>[4]Worksheet!D10</f>
        <v>83</v>
      </c>
      <c r="D10" s="22">
        <f>[4]Worksheet!D10</f>
        <v>83</v>
      </c>
      <c r="E10" s="12"/>
      <c r="F10" s="19"/>
      <c r="G10" s="19"/>
      <c r="H10" s="22">
        <f>[4]Worksheet!E10</f>
        <v>86</v>
      </c>
      <c r="I10" s="22">
        <f>[4]Worksheet!E10</f>
        <v>86</v>
      </c>
      <c r="J10" s="13"/>
      <c r="K10" s="13"/>
      <c r="L10" s="13"/>
      <c r="M10" s="18">
        <f>[4]Worksheet!F10</f>
        <v>97</v>
      </c>
      <c r="N10" s="18">
        <f>AVERAGE(C10:D10)</f>
        <v>83</v>
      </c>
      <c r="O10" s="18">
        <f>AVERAGE(H10:I10)</f>
        <v>86</v>
      </c>
      <c r="P10" s="35">
        <f>AVERAGE(M10:O10)</f>
        <v>88.666666666666671</v>
      </c>
      <c r="R10" s="2" t="s">
        <v>17</v>
      </c>
    </row>
    <row r="11" spans="1:18">
      <c r="A11" s="4">
        <v>2</v>
      </c>
      <c r="B11" s="29" t="s">
        <v>44</v>
      </c>
      <c r="C11" s="22">
        <f>[4]Worksheet!D11</f>
        <v>90</v>
      </c>
      <c r="D11" s="22">
        <f>[4]Worksheet!D11</f>
        <v>90</v>
      </c>
      <c r="E11" s="6"/>
      <c r="F11" s="20"/>
      <c r="G11" s="20"/>
      <c r="H11" s="22">
        <f>[4]Worksheet!E11</f>
        <v>88</v>
      </c>
      <c r="I11" s="22">
        <f>[4]Worksheet!E11</f>
        <v>88</v>
      </c>
      <c r="J11" s="4"/>
      <c r="K11" s="4"/>
      <c r="L11" s="4"/>
      <c r="M11" s="18">
        <f>[4]Worksheet!F11</f>
        <v>92</v>
      </c>
      <c r="N11" s="18">
        <f t="shared" ref="N11:N31" si="0">AVERAGE(C11:D11)</f>
        <v>90</v>
      </c>
      <c r="O11" s="18">
        <f t="shared" ref="O11:O31" si="1">AVERAGE(H11:I11)</f>
        <v>88</v>
      </c>
      <c r="P11" s="35">
        <f t="shared" ref="P11:P31" si="2">AVERAGE(M11:O11)</f>
        <v>90</v>
      </c>
      <c r="R11" s="2" t="s">
        <v>19</v>
      </c>
    </row>
    <row r="12" spans="1:18">
      <c r="A12" s="4">
        <v>3</v>
      </c>
      <c r="B12" s="29" t="s">
        <v>45</v>
      </c>
      <c r="C12" s="22">
        <f>[4]Worksheet!D12</f>
        <v>86</v>
      </c>
      <c r="D12" s="22">
        <f>[4]Worksheet!D12</f>
        <v>86</v>
      </c>
      <c r="E12" s="6"/>
      <c r="F12" s="20"/>
      <c r="G12" s="20"/>
      <c r="H12" s="22">
        <f>[4]Worksheet!E12</f>
        <v>90</v>
      </c>
      <c r="I12" s="22">
        <f>[4]Worksheet!E12</f>
        <v>90</v>
      </c>
      <c r="J12" s="4"/>
      <c r="K12" s="4"/>
      <c r="L12" s="4"/>
      <c r="M12" s="18">
        <f>[4]Worksheet!F12</f>
        <v>97</v>
      </c>
      <c r="N12" s="18">
        <f t="shared" si="0"/>
        <v>86</v>
      </c>
      <c r="O12" s="18">
        <f t="shared" si="1"/>
        <v>90</v>
      </c>
      <c r="P12" s="35">
        <f t="shared" si="2"/>
        <v>91</v>
      </c>
      <c r="R12" s="2" t="s">
        <v>20</v>
      </c>
    </row>
    <row r="13" spans="1:18">
      <c r="A13" s="4">
        <v>4</v>
      </c>
      <c r="B13" s="29" t="s">
        <v>59</v>
      </c>
      <c r="C13" s="22">
        <f>[4]Worksheet!D13</f>
        <v>90</v>
      </c>
      <c r="D13" s="22">
        <f>[4]Worksheet!D13</f>
        <v>90</v>
      </c>
      <c r="E13" s="6"/>
      <c r="F13" s="20"/>
      <c r="G13" s="20"/>
      <c r="H13" s="22">
        <f>[4]Worksheet!E13</f>
        <v>85</v>
      </c>
      <c r="I13" s="22">
        <f>[4]Worksheet!E13</f>
        <v>85</v>
      </c>
      <c r="J13" s="4"/>
      <c r="K13" s="4"/>
      <c r="L13" s="4"/>
      <c r="M13" s="18">
        <f>[4]Worksheet!F13</f>
        <v>87</v>
      </c>
      <c r="N13" s="18">
        <f t="shared" si="0"/>
        <v>90</v>
      </c>
      <c r="O13" s="18">
        <f t="shared" si="1"/>
        <v>85</v>
      </c>
      <c r="P13" s="35">
        <f t="shared" si="2"/>
        <v>87.333333333333329</v>
      </c>
      <c r="R13" s="2" t="s">
        <v>21</v>
      </c>
    </row>
    <row r="14" spans="1:18">
      <c r="A14" s="4">
        <v>5</v>
      </c>
      <c r="B14" s="29" t="s">
        <v>136</v>
      </c>
      <c r="C14" s="22">
        <f>[4]Worksheet!D14</f>
        <v>85</v>
      </c>
      <c r="D14" s="22">
        <f>[4]Worksheet!D14</f>
        <v>85</v>
      </c>
      <c r="E14" s="6"/>
      <c r="F14" s="20"/>
      <c r="G14" s="20"/>
      <c r="H14" s="22">
        <f>[4]Worksheet!E14</f>
        <v>87</v>
      </c>
      <c r="I14" s="22">
        <f>[4]Worksheet!E14</f>
        <v>87</v>
      </c>
      <c r="J14" s="4"/>
      <c r="K14" s="4"/>
      <c r="L14" s="4"/>
      <c r="M14" s="18">
        <f>[4]Worksheet!F14</f>
        <v>98</v>
      </c>
      <c r="N14" s="18">
        <f t="shared" si="0"/>
        <v>85</v>
      </c>
      <c r="O14" s="18">
        <f t="shared" si="1"/>
        <v>87</v>
      </c>
      <c r="P14" s="35">
        <f t="shared" si="2"/>
        <v>90</v>
      </c>
      <c r="R14" s="2" t="s">
        <v>12</v>
      </c>
    </row>
    <row r="15" spans="1:18">
      <c r="A15" s="4">
        <v>6</v>
      </c>
      <c r="B15" s="29" t="s">
        <v>137</v>
      </c>
      <c r="C15" s="22">
        <f>[4]Worksheet!D15</f>
        <v>85</v>
      </c>
      <c r="D15" s="22">
        <f>[4]Worksheet!D15</f>
        <v>85</v>
      </c>
      <c r="E15" s="6"/>
      <c r="F15" s="20"/>
      <c r="G15" s="20"/>
      <c r="H15" s="22">
        <f>[4]Worksheet!E15</f>
        <v>85</v>
      </c>
      <c r="I15" s="22">
        <f>[4]Worksheet!E15</f>
        <v>85</v>
      </c>
      <c r="J15" s="4"/>
      <c r="K15" s="4"/>
      <c r="L15" s="4"/>
      <c r="M15" s="18">
        <f>[4]Worksheet!F15</f>
        <v>69</v>
      </c>
      <c r="N15" s="18">
        <f t="shared" si="0"/>
        <v>85</v>
      </c>
      <c r="O15" s="18">
        <f t="shared" si="1"/>
        <v>85</v>
      </c>
      <c r="P15" s="35">
        <f t="shared" si="2"/>
        <v>79.666666666666671</v>
      </c>
      <c r="R15" s="5"/>
    </row>
    <row r="16" spans="1:18">
      <c r="A16" s="4">
        <v>7</v>
      </c>
      <c r="B16" s="29" t="s">
        <v>46</v>
      </c>
      <c r="C16" s="22">
        <f>[4]Worksheet!D16</f>
        <v>84</v>
      </c>
      <c r="D16" s="22">
        <f>[4]Worksheet!D16</f>
        <v>84</v>
      </c>
      <c r="E16" s="6"/>
      <c r="F16" s="20"/>
      <c r="G16" s="20"/>
      <c r="H16" s="22">
        <f>[4]Worksheet!E16</f>
        <v>95</v>
      </c>
      <c r="I16" s="22">
        <f>[4]Worksheet!E16</f>
        <v>95</v>
      </c>
      <c r="J16" s="4"/>
      <c r="K16" s="4"/>
      <c r="L16" s="4"/>
      <c r="M16" s="18">
        <f>[4]Worksheet!F16</f>
        <v>85</v>
      </c>
      <c r="N16" s="18">
        <f t="shared" si="0"/>
        <v>84</v>
      </c>
      <c r="O16" s="18">
        <f t="shared" si="1"/>
        <v>95</v>
      </c>
      <c r="P16" s="35">
        <f t="shared" si="2"/>
        <v>88</v>
      </c>
      <c r="R16" s="5"/>
    </row>
    <row r="17" spans="1:18">
      <c r="A17" s="4">
        <v>8</v>
      </c>
      <c r="B17" s="29" t="s">
        <v>138</v>
      </c>
      <c r="C17" s="22">
        <f>[4]Worksheet!D17</f>
        <v>90</v>
      </c>
      <c r="D17" s="22">
        <f>[4]Worksheet!D17</f>
        <v>90</v>
      </c>
      <c r="E17" s="6"/>
      <c r="F17" s="20"/>
      <c r="G17" s="20"/>
      <c r="H17" s="22">
        <f>[4]Worksheet!E17</f>
        <v>85</v>
      </c>
      <c r="I17" s="22">
        <f>[4]Worksheet!E17</f>
        <v>85</v>
      </c>
      <c r="J17" s="4"/>
      <c r="K17" s="4"/>
      <c r="L17" s="4"/>
      <c r="M17" s="18">
        <f>[4]Worksheet!F17</f>
        <v>81</v>
      </c>
      <c r="N17" s="18">
        <f t="shared" si="0"/>
        <v>90</v>
      </c>
      <c r="O17" s="18">
        <f t="shared" si="1"/>
        <v>85</v>
      </c>
      <c r="P17" s="35">
        <f t="shared" si="2"/>
        <v>85.333333333333329</v>
      </c>
      <c r="R17" s="5"/>
    </row>
    <row r="18" spans="1:18">
      <c r="A18" s="4">
        <v>9</v>
      </c>
      <c r="B18" s="29" t="s">
        <v>47</v>
      </c>
      <c r="C18" s="22">
        <f>[4]Worksheet!D18</f>
        <v>90</v>
      </c>
      <c r="D18" s="22">
        <f>[4]Worksheet!D18</f>
        <v>90</v>
      </c>
      <c r="E18" s="6"/>
      <c r="F18" s="20"/>
      <c r="G18" s="20"/>
      <c r="H18" s="22">
        <f>[4]Worksheet!E18</f>
        <v>90</v>
      </c>
      <c r="I18" s="22">
        <f>[4]Worksheet!E18</f>
        <v>90</v>
      </c>
      <c r="J18" s="4"/>
      <c r="K18" s="4"/>
      <c r="L18" s="4"/>
      <c r="M18" s="18">
        <f>[4]Worksheet!F18</f>
        <v>77</v>
      </c>
      <c r="N18" s="18">
        <f t="shared" si="0"/>
        <v>90</v>
      </c>
      <c r="O18" s="18">
        <f t="shared" si="1"/>
        <v>90</v>
      </c>
      <c r="P18" s="35">
        <f t="shared" si="2"/>
        <v>85.666666666666671</v>
      </c>
      <c r="R18" s="5"/>
    </row>
    <row r="19" spans="1:18">
      <c r="A19" s="4">
        <v>10</v>
      </c>
      <c r="B19" s="29" t="s">
        <v>48</v>
      </c>
      <c r="C19" s="22">
        <f>[4]Worksheet!D19</f>
        <v>85</v>
      </c>
      <c r="D19" s="22">
        <f>[4]Worksheet!D19</f>
        <v>85</v>
      </c>
      <c r="E19" s="6"/>
      <c r="F19" s="20"/>
      <c r="G19" s="20"/>
      <c r="H19" s="22">
        <f>[4]Worksheet!E19</f>
        <v>85</v>
      </c>
      <c r="I19" s="22">
        <f>[4]Worksheet!E19</f>
        <v>85</v>
      </c>
      <c r="J19" s="4"/>
      <c r="K19" s="4"/>
      <c r="L19" s="4"/>
      <c r="M19" s="18">
        <f>[4]Worksheet!F19</f>
        <v>95</v>
      </c>
      <c r="N19" s="18">
        <f t="shared" si="0"/>
        <v>85</v>
      </c>
      <c r="O19" s="18">
        <f t="shared" si="1"/>
        <v>85</v>
      </c>
      <c r="P19" s="35">
        <f t="shared" si="2"/>
        <v>88.333333333333329</v>
      </c>
      <c r="R19" s="5"/>
    </row>
    <row r="20" spans="1:18">
      <c r="A20" s="4">
        <v>11</v>
      </c>
      <c r="B20" s="29" t="s">
        <v>49</v>
      </c>
      <c r="C20" s="22">
        <f>[4]Worksheet!D20</f>
        <v>80</v>
      </c>
      <c r="D20" s="22">
        <f>[4]Worksheet!D20</f>
        <v>80</v>
      </c>
      <c r="E20" s="6"/>
      <c r="F20" s="20"/>
      <c r="G20" s="20"/>
      <c r="H20" s="22">
        <f>[4]Worksheet!E20</f>
        <v>85</v>
      </c>
      <c r="I20" s="22">
        <f>[4]Worksheet!E20</f>
        <v>85</v>
      </c>
      <c r="J20" s="4"/>
      <c r="K20" s="4"/>
      <c r="L20" s="4"/>
      <c r="M20" s="18">
        <f>[4]Worksheet!F20</f>
        <v>100</v>
      </c>
      <c r="N20" s="18">
        <f t="shared" si="0"/>
        <v>80</v>
      </c>
      <c r="O20" s="18">
        <f t="shared" si="1"/>
        <v>85</v>
      </c>
      <c r="P20" s="35">
        <f t="shared" si="2"/>
        <v>88.333333333333329</v>
      </c>
      <c r="R20" s="5"/>
    </row>
    <row r="21" spans="1:18">
      <c r="A21" s="4">
        <v>12</v>
      </c>
      <c r="B21" s="29" t="s">
        <v>50</v>
      </c>
      <c r="C21" s="22">
        <f>[4]Worksheet!D21</f>
        <v>90</v>
      </c>
      <c r="D21" s="22">
        <f>[4]Worksheet!D21</f>
        <v>90</v>
      </c>
      <c r="E21" s="6"/>
      <c r="F21" s="20"/>
      <c r="G21" s="20"/>
      <c r="H21" s="22">
        <f>[4]Worksheet!E21</f>
        <v>87</v>
      </c>
      <c r="I21" s="22">
        <f>[4]Worksheet!E21</f>
        <v>87</v>
      </c>
      <c r="J21" s="4"/>
      <c r="K21" s="4"/>
      <c r="L21" s="4"/>
      <c r="M21" s="18">
        <f>[4]Worksheet!F21</f>
        <v>96</v>
      </c>
      <c r="N21" s="18">
        <f t="shared" si="0"/>
        <v>90</v>
      </c>
      <c r="O21" s="18">
        <f t="shared" si="1"/>
        <v>87</v>
      </c>
      <c r="P21" s="35">
        <f t="shared" si="2"/>
        <v>91</v>
      </c>
      <c r="R21" s="5"/>
    </row>
    <row r="22" spans="1:18">
      <c r="A22" s="4">
        <v>13</v>
      </c>
      <c r="B22" s="29" t="s">
        <v>51</v>
      </c>
      <c r="C22" s="22">
        <f>[4]Worksheet!D22</f>
        <v>88</v>
      </c>
      <c r="D22" s="22">
        <f>[4]Worksheet!D22</f>
        <v>88</v>
      </c>
      <c r="E22" s="6"/>
      <c r="F22" s="20"/>
      <c r="G22" s="20"/>
      <c r="H22" s="22">
        <f>[4]Worksheet!E22</f>
        <v>90</v>
      </c>
      <c r="I22" s="22">
        <f>[4]Worksheet!E22</f>
        <v>90</v>
      </c>
      <c r="J22" s="4"/>
      <c r="K22" s="4"/>
      <c r="L22" s="4"/>
      <c r="M22" s="18">
        <f>[4]Worksheet!F22</f>
        <v>69</v>
      </c>
      <c r="N22" s="18">
        <f t="shared" si="0"/>
        <v>88</v>
      </c>
      <c r="O22" s="18">
        <f t="shared" si="1"/>
        <v>90</v>
      </c>
      <c r="P22" s="35">
        <f t="shared" si="2"/>
        <v>82.333333333333329</v>
      </c>
      <c r="R22" s="5"/>
    </row>
    <row r="23" spans="1:18">
      <c r="A23" s="4">
        <v>14</v>
      </c>
      <c r="B23" s="29" t="s">
        <v>52</v>
      </c>
      <c r="C23" s="22">
        <f>[4]Worksheet!D23</f>
        <v>85</v>
      </c>
      <c r="D23" s="22">
        <f>[4]Worksheet!D23</f>
        <v>85</v>
      </c>
      <c r="E23" s="6"/>
      <c r="F23" s="20"/>
      <c r="G23" s="20"/>
      <c r="H23" s="22">
        <f>[4]Worksheet!E23</f>
        <v>83</v>
      </c>
      <c r="I23" s="22">
        <f>[4]Worksheet!E23</f>
        <v>83</v>
      </c>
      <c r="J23" s="4"/>
      <c r="K23" s="4"/>
      <c r="L23" s="4"/>
      <c r="M23" s="18">
        <f>[4]Worksheet!F23</f>
        <v>86</v>
      </c>
      <c r="N23" s="18">
        <f t="shared" si="0"/>
        <v>85</v>
      </c>
      <c r="O23" s="18">
        <f t="shared" si="1"/>
        <v>83</v>
      </c>
      <c r="P23" s="35">
        <f t="shared" si="2"/>
        <v>84.666666666666671</v>
      </c>
      <c r="R23" s="5"/>
    </row>
    <row r="24" spans="1:18">
      <c r="A24" s="4">
        <v>15</v>
      </c>
      <c r="B24" s="29" t="s">
        <v>53</v>
      </c>
      <c r="C24" s="22">
        <f>[4]Worksheet!D24</f>
        <v>85</v>
      </c>
      <c r="D24" s="22">
        <f>[4]Worksheet!D24</f>
        <v>85</v>
      </c>
      <c r="E24" s="6"/>
      <c r="F24" s="20"/>
      <c r="G24" s="20"/>
      <c r="H24" s="22">
        <f>[4]Worksheet!E24</f>
        <v>96</v>
      </c>
      <c r="I24" s="22">
        <f>[4]Worksheet!E24</f>
        <v>96</v>
      </c>
      <c r="J24" s="4"/>
      <c r="K24" s="4"/>
      <c r="L24" s="4"/>
      <c r="M24" s="18">
        <f>[4]Worksheet!F24</f>
        <v>68</v>
      </c>
      <c r="N24" s="18">
        <f t="shared" si="0"/>
        <v>85</v>
      </c>
      <c r="O24" s="18">
        <f t="shared" si="1"/>
        <v>96</v>
      </c>
      <c r="P24" s="35">
        <f t="shared" si="2"/>
        <v>83</v>
      </c>
      <c r="R24" s="5"/>
    </row>
    <row r="25" spans="1:18">
      <c r="A25" s="4">
        <v>16</v>
      </c>
      <c r="B25" s="29" t="s">
        <v>139</v>
      </c>
      <c r="C25" s="22">
        <f>[4]Worksheet!D25</f>
        <v>87</v>
      </c>
      <c r="D25" s="22">
        <f>[4]Worksheet!D25</f>
        <v>87</v>
      </c>
      <c r="E25" s="6"/>
      <c r="F25" s="20"/>
      <c r="G25" s="20"/>
      <c r="H25" s="22">
        <f>[4]Worksheet!E25</f>
        <v>82</v>
      </c>
      <c r="I25" s="22">
        <f>[4]Worksheet!E25</f>
        <v>82</v>
      </c>
      <c r="J25" s="4"/>
      <c r="K25" s="4"/>
      <c r="L25" s="4"/>
      <c r="M25" s="18">
        <f>[4]Worksheet!F25</f>
        <v>95</v>
      </c>
      <c r="N25" s="18">
        <f t="shared" si="0"/>
        <v>87</v>
      </c>
      <c r="O25" s="18">
        <f t="shared" si="1"/>
        <v>82</v>
      </c>
      <c r="P25" s="35">
        <f t="shared" si="2"/>
        <v>88</v>
      </c>
      <c r="R25" s="5"/>
    </row>
    <row r="26" spans="1:18">
      <c r="A26" s="4">
        <v>17</v>
      </c>
      <c r="B26" s="29" t="s">
        <v>54</v>
      </c>
      <c r="C26" s="22">
        <f>[4]Worksheet!D26</f>
        <v>94</v>
      </c>
      <c r="D26" s="22">
        <f>[4]Worksheet!D26</f>
        <v>94</v>
      </c>
      <c r="E26" s="6"/>
      <c r="F26" s="20"/>
      <c r="G26" s="20"/>
      <c r="H26" s="22">
        <f>[4]Worksheet!E26</f>
        <v>95</v>
      </c>
      <c r="I26" s="22">
        <f>[4]Worksheet!E26</f>
        <v>95</v>
      </c>
      <c r="J26" s="4"/>
      <c r="K26" s="4"/>
      <c r="L26" s="4"/>
      <c r="M26" s="18">
        <f>[4]Worksheet!F26</f>
        <v>50</v>
      </c>
      <c r="N26" s="18">
        <f t="shared" si="0"/>
        <v>94</v>
      </c>
      <c r="O26" s="18">
        <f t="shared" si="1"/>
        <v>95</v>
      </c>
      <c r="P26" s="35">
        <f t="shared" si="2"/>
        <v>79.666666666666671</v>
      </c>
      <c r="R26" s="5"/>
    </row>
    <row r="27" spans="1:18">
      <c r="A27" s="4">
        <v>18</v>
      </c>
      <c r="B27" s="29" t="s">
        <v>55</v>
      </c>
      <c r="C27" s="22">
        <f>[4]Worksheet!D27</f>
        <v>89</v>
      </c>
      <c r="D27" s="22">
        <f>[4]Worksheet!D27</f>
        <v>89</v>
      </c>
      <c r="E27" s="6"/>
      <c r="F27" s="20"/>
      <c r="G27" s="20"/>
      <c r="H27" s="22">
        <f>[4]Worksheet!E27</f>
        <v>95</v>
      </c>
      <c r="I27" s="22">
        <f>[4]Worksheet!E27</f>
        <v>95</v>
      </c>
      <c r="J27" s="4"/>
      <c r="K27" s="4"/>
      <c r="L27" s="4"/>
      <c r="M27" s="18">
        <f>[4]Worksheet!F27</f>
        <v>65</v>
      </c>
      <c r="N27" s="18">
        <f t="shared" si="0"/>
        <v>89</v>
      </c>
      <c r="O27" s="18">
        <f t="shared" si="1"/>
        <v>95</v>
      </c>
      <c r="P27" s="35">
        <f t="shared" si="2"/>
        <v>83</v>
      </c>
      <c r="R27" s="5"/>
    </row>
    <row r="28" spans="1:18">
      <c r="A28" s="4">
        <v>19</v>
      </c>
      <c r="B28" s="29" t="s">
        <v>56</v>
      </c>
      <c r="C28" s="22">
        <f>[4]Worksheet!D28</f>
        <v>95</v>
      </c>
      <c r="D28" s="22">
        <f>[4]Worksheet!D28</f>
        <v>95</v>
      </c>
      <c r="E28" s="6"/>
      <c r="F28" s="20"/>
      <c r="G28" s="20"/>
      <c r="H28" s="22">
        <f>[4]Worksheet!E28</f>
        <v>93</v>
      </c>
      <c r="I28" s="22">
        <f>[4]Worksheet!E28</f>
        <v>93</v>
      </c>
      <c r="J28" s="4"/>
      <c r="K28" s="4"/>
      <c r="L28" s="4"/>
      <c r="M28" s="18">
        <f>[4]Worksheet!F28</f>
        <v>68</v>
      </c>
      <c r="N28" s="18">
        <f t="shared" si="0"/>
        <v>95</v>
      </c>
      <c r="O28" s="18">
        <f t="shared" si="1"/>
        <v>93</v>
      </c>
      <c r="P28" s="35">
        <f t="shared" si="2"/>
        <v>85.333333333333329</v>
      </c>
      <c r="R28" s="5"/>
    </row>
    <row r="29" spans="1:18">
      <c r="A29" s="4">
        <v>20</v>
      </c>
      <c r="B29" s="29" t="s">
        <v>140</v>
      </c>
      <c r="C29" s="22">
        <f>[4]Worksheet!D29</f>
        <v>93</v>
      </c>
      <c r="D29" s="22">
        <f>[4]Worksheet!D29</f>
        <v>93</v>
      </c>
      <c r="E29" s="6"/>
      <c r="F29" s="20"/>
      <c r="G29" s="20"/>
      <c r="H29" s="22">
        <f>[4]Worksheet!E29</f>
        <v>95</v>
      </c>
      <c r="I29" s="22">
        <f>[4]Worksheet!E29</f>
        <v>95</v>
      </c>
      <c r="J29" s="4"/>
      <c r="K29" s="4"/>
      <c r="L29" s="4"/>
      <c r="M29" s="18">
        <f>[4]Worksheet!F29</f>
        <v>66</v>
      </c>
      <c r="N29" s="18">
        <f t="shared" si="0"/>
        <v>93</v>
      </c>
      <c r="O29" s="18">
        <f t="shared" si="1"/>
        <v>95</v>
      </c>
      <c r="P29" s="35">
        <f t="shared" si="2"/>
        <v>84.666666666666671</v>
      </c>
      <c r="R29" s="5"/>
    </row>
    <row r="30" spans="1:18">
      <c r="A30" s="4">
        <v>21</v>
      </c>
      <c r="B30" s="29" t="s">
        <v>57</v>
      </c>
      <c r="C30" s="22">
        <f>[4]Worksheet!D30</f>
        <v>90</v>
      </c>
      <c r="D30" s="22">
        <f>[4]Worksheet!D30</f>
        <v>90</v>
      </c>
      <c r="E30" s="6"/>
      <c r="F30" s="20"/>
      <c r="G30" s="20"/>
      <c r="H30" s="22">
        <f>[4]Worksheet!E30</f>
        <v>90</v>
      </c>
      <c r="I30" s="22">
        <f>[4]Worksheet!E30</f>
        <v>90</v>
      </c>
      <c r="J30" s="4"/>
      <c r="K30" s="4"/>
      <c r="L30" s="4"/>
      <c r="M30" s="18">
        <f>[4]Worksheet!F30</f>
        <v>63</v>
      </c>
      <c r="N30" s="18">
        <f t="shared" si="0"/>
        <v>90</v>
      </c>
      <c r="O30" s="18">
        <f t="shared" si="1"/>
        <v>90</v>
      </c>
      <c r="P30" s="35">
        <f t="shared" si="2"/>
        <v>81</v>
      </c>
      <c r="R30" s="5"/>
    </row>
    <row r="31" spans="1:18">
      <c r="A31" s="4">
        <v>22</v>
      </c>
      <c r="B31" s="29" t="s">
        <v>58</v>
      </c>
      <c r="C31" s="22">
        <f>[4]Worksheet!D31</f>
        <v>86</v>
      </c>
      <c r="D31" s="22">
        <f>[4]Worksheet!D31</f>
        <v>86</v>
      </c>
      <c r="E31" s="6"/>
      <c r="F31" s="20"/>
      <c r="G31" s="20"/>
      <c r="H31" s="22">
        <f>[4]Worksheet!E31</f>
        <v>83</v>
      </c>
      <c r="I31" s="22">
        <f>[4]Worksheet!E31</f>
        <v>83</v>
      </c>
      <c r="J31" s="4"/>
      <c r="K31" s="4"/>
      <c r="L31" s="4"/>
      <c r="M31" s="18">
        <f>[4]Worksheet!F31</f>
        <v>98</v>
      </c>
      <c r="N31" s="18">
        <f t="shared" si="0"/>
        <v>86</v>
      </c>
      <c r="O31" s="18">
        <f t="shared" si="1"/>
        <v>83</v>
      </c>
      <c r="P31" s="35">
        <f t="shared" si="2"/>
        <v>89</v>
      </c>
      <c r="R31" s="5"/>
    </row>
    <row r="32" spans="1:18">
      <c r="A32" s="3"/>
      <c r="Q32" s="3"/>
      <c r="R32" s="3"/>
    </row>
    <row r="34" spans="14:14">
      <c r="N34" s="2" t="s">
        <v>76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topLeftCell="A4" zoomScale="70" zoomScaleNormal="70" workbookViewId="0">
      <selection activeCell="B30" sqref="B30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"/>
      <c r="R1" s="3"/>
    </row>
    <row r="2" spans="1:18" ht="17.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39" t="s">
        <v>2</v>
      </c>
      <c r="B8" s="40" t="s">
        <v>3</v>
      </c>
      <c r="C8" s="41" t="s">
        <v>25</v>
      </c>
      <c r="D8" s="41"/>
      <c r="E8" s="41"/>
      <c r="F8" s="41"/>
      <c r="G8" s="41"/>
      <c r="H8" s="42" t="s">
        <v>26</v>
      </c>
      <c r="I8" s="42"/>
      <c r="J8" s="42"/>
      <c r="K8" s="42"/>
      <c r="L8" s="42"/>
      <c r="M8" s="14" t="s">
        <v>9</v>
      </c>
      <c r="N8" s="43" t="s">
        <v>23</v>
      </c>
      <c r="O8" s="44"/>
      <c r="P8" s="10" t="s">
        <v>10</v>
      </c>
      <c r="R8" s="1" t="s">
        <v>16</v>
      </c>
    </row>
    <row r="9" spans="1:18">
      <c r="A9" s="39"/>
      <c r="B9" s="40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141</v>
      </c>
      <c r="C10" s="49">
        <f>[5]Worksheet!D10</f>
        <v>88</v>
      </c>
      <c r="D10" s="49">
        <f>[5]Worksheet!E10</f>
        <v>88</v>
      </c>
      <c r="E10" s="12"/>
      <c r="F10" s="19"/>
      <c r="G10" s="19"/>
      <c r="H10" s="49">
        <f>[5]Worksheet!F10</f>
        <v>88</v>
      </c>
      <c r="I10" s="49">
        <f>[5]Worksheet!G10</f>
        <v>88</v>
      </c>
      <c r="J10" s="13"/>
      <c r="K10" s="13"/>
      <c r="L10" s="13"/>
      <c r="M10" s="50">
        <f>[5]Worksheet!H10</f>
        <v>88</v>
      </c>
      <c r="N10" s="18">
        <f>AVERAGE(C10:D10)</f>
        <v>88</v>
      </c>
      <c r="O10" s="18">
        <f>AVERAGE(H10:I10)</f>
        <v>88</v>
      </c>
      <c r="P10" s="35">
        <f t="shared" ref="P10:P31" si="0">AVERAGE(M10:O10)</f>
        <v>88</v>
      </c>
      <c r="R10" s="2" t="s">
        <v>17</v>
      </c>
    </row>
    <row r="11" spans="1:18">
      <c r="A11" s="4">
        <v>2</v>
      </c>
      <c r="B11" s="29" t="s">
        <v>142</v>
      </c>
      <c r="C11" s="49">
        <f>[5]Worksheet!D11</f>
        <v>90</v>
      </c>
      <c r="D11" s="49">
        <f>[5]Worksheet!E11</f>
        <v>90</v>
      </c>
      <c r="E11" s="6"/>
      <c r="F11" s="20"/>
      <c r="G11" s="20"/>
      <c r="H11" s="49">
        <f>[5]Worksheet!F11</f>
        <v>90</v>
      </c>
      <c r="I11" s="49">
        <f>[5]Worksheet!G11</f>
        <v>90</v>
      </c>
      <c r="J11" s="4"/>
      <c r="K11" s="4"/>
      <c r="L11" s="4"/>
      <c r="M11" s="50">
        <f>[5]Worksheet!H11</f>
        <v>90</v>
      </c>
      <c r="N11" s="18">
        <f t="shared" ref="N11:N31" si="1">AVERAGE(C11:D11)</f>
        <v>90</v>
      </c>
      <c r="O11" s="18">
        <f t="shared" ref="O11:O31" si="2">AVERAGE(H11:I11)</f>
        <v>90</v>
      </c>
      <c r="P11" s="35">
        <f t="shared" si="0"/>
        <v>90</v>
      </c>
      <c r="R11" s="2" t="s">
        <v>19</v>
      </c>
    </row>
    <row r="12" spans="1:18">
      <c r="A12" s="4">
        <v>3</v>
      </c>
      <c r="B12" s="29" t="s">
        <v>60</v>
      </c>
      <c r="C12" s="49">
        <f>[5]Worksheet!D12</f>
        <v>90</v>
      </c>
      <c r="D12" s="49">
        <f>[5]Worksheet!E12</f>
        <v>90</v>
      </c>
      <c r="E12" s="6"/>
      <c r="F12" s="20"/>
      <c r="G12" s="20"/>
      <c r="H12" s="49">
        <f>[5]Worksheet!F12</f>
        <v>90</v>
      </c>
      <c r="I12" s="49">
        <f>[5]Worksheet!G12</f>
        <v>90</v>
      </c>
      <c r="J12" s="4"/>
      <c r="K12" s="4"/>
      <c r="L12" s="4"/>
      <c r="M12" s="50">
        <f>[5]Worksheet!H12</f>
        <v>90</v>
      </c>
      <c r="N12" s="18">
        <f t="shared" si="1"/>
        <v>90</v>
      </c>
      <c r="O12" s="18">
        <f t="shared" si="2"/>
        <v>90</v>
      </c>
      <c r="P12" s="35">
        <f t="shared" si="0"/>
        <v>90</v>
      </c>
      <c r="R12" s="2" t="s">
        <v>20</v>
      </c>
    </row>
    <row r="13" spans="1:18">
      <c r="A13" s="4">
        <v>4</v>
      </c>
      <c r="B13" s="29" t="s">
        <v>61</v>
      </c>
      <c r="C13" s="49">
        <f>[5]Worksheet!D13</f>
        <v>89</v>
      </c>
      <c r="D13" s="49">
        <f>[5]Worksheet!E13</f>
        <v>89</v>
      </c>
      <c r="E13" s="6"/>
      <c r="F13" s="20"/>
      <c r="G13" s="20"/>
      <c r="H13" s="49">
        <f>[5]Worksheet!F13</f>
        <v>89</v>
      </c>
      <c r="I13" s="49">
        <f>[5]Worksheet!G13</f>
        <v>89</v>
      </c>
      <c r="J13" s="4"/>
      <c r="K13" s="4"/>
      <c r="L13" s="4"/>
      <c r="M13" s="50">
        <f>[5]Worksheet!H13</f>
        <v>89</v>
      </c>
      <c r="N13" s="18">
        <f t="shared" si="1"/>
        <v>89</v>
      </c>
      <c r="O13" s="18">
        <f t="shared" si="2"/>
        <v>89</v>
      </c>
      <c r="P13" s="35">
        <f t="shared" si="0"/>
        <v>89</v>
      </c>
      <c r="R13" s="2" t="s">
        <v>21</v>
      </c>
    </row>
    <row r="14" spans="1:18">
      <c r="A14" s="4">
        <v>5</v>
      </c>
      <c r="B14" s="29" t="s">
        <v>62</v>
      </c>
      <c r="C14" s="49">
        <f>[5]Worksheet!D14</f>
        <v>72.333333333333329</v>
      </c>
      <c r="D14" s="49">
        <f>[5]Worksheet!E14</f>
        <v>72.333333333333329</v>
      </c>
      <c r="E14" s="6"/>
      <c r="F14" s="20"/>
      <c r="G14" s="20"/>
      <c r="H14" s="49">
        <f>[5]Worksheet!F14</f>
        <v>72.333333333333329</v>
      </c>
      <c r="I14" s="49">
        <f>[5]Worksheet!G14</f>
        <v>72.333333333333329</v>
      </c>
      <c r="J14" s="4"/>
      <c r="K14" s="4"/>
      <c r="L14" s="4"/>
      <c r="M14" s="50">
        <f>[5]Worksheet!H14</f>
        <v>72.333333333333329</v>
      </c>
      <c r="N14" s="18">
        <f t="shared" si="1"/>
        <v>72.333333333333329</v>
      </c>
      <c r="O14" s="18">
        <f t="shared" si="2"/>
        <v>72.333333333333329</v>
      </c>
      <c r="P14" s="35">
        <f t="shared" si="0"/>
        <v>72.333333333333329</v>
      </c>
      <c r="R14" s="2" t="s">
        <v>12</v>
      </c>
    </row>
    <row r="15" spans="1:18">
      <c r="A15" s="4">
        <v>6</v>
      </c>
      <c r="B15" s="29" t="s">
        <v>143</v>
      </c>
      <c r="C15" s="49">
        <f>[5]Worksheet!D15</f>
        <v>88</v>
      </c>
      <c r="D15" s="49">
        <f>[5]Worksheet!E15</f>
        <v>88</v>
      </c>
      <c r="E15" s="6"/>
      <c r="F15" s="20"/>
      <c r="G15" s="20"/>
      <c r="H15" s="49">
        <f>[5]Worksheet!F15</f>
        <v>88</v>
      </c>
      <c r="I15" s="49">
        <f>[5]Worksheet!G15</f>
        <v>88</v>
      </c>
      <c r="J15" s="4"/>
      <c r="K15" s="4"/>
      <c r="L15" s="4"/>
      <c r="M15" s="50">
        <f>[5]Worksheet!H15</f>
        <v>88</v>
      </c>
      <c r="N15" s="18">
        <f t="shared" si="1"/>
        <v>88</v>
      </c>
      <c r="O15" s="18">
        <f t="shared" si="2"/>
        <v>88</v>
      </c>
      <c r="P15" s="35">
        <f t="shared" si="0"/>
        <v>88</v>
      </c>
      <c r="R15" s="5"/>
    </row>
    <row r="16" spans="1:18">
      <c r="A16" s="4">
        <v>7</v>
      </c>
      <c r="B16" s="29" t="s">
        <v>144</v>
      </c>
      <c r="C16" s="49">
        <f>[5]Worksheet!D16</f>
        <v>84.666666666666671</v>
      </c>
      <c r="D16" s="49">
        <f>[5]Worksheet!E16</f>
        <v>84.666666666666671</v>
      </c>
      <c r="E16" s="6"/>
      <c r="F16" s="20"/>
      <c r="G16" s="20"/>
      <c r="H16" s="49">
        <f>[5]Worksheet!F16</f>
        <v>84.666666666666671</v>
      </c>
      <c r="I16" s="49">
        <f>[5]Worksheet!G16</f>
        <v>84.666666666666671</v>
      </c>
      <c r="J16" s="4"/>
      <c r="K16" s="4"/>
      <c r="L16" s="4"/>
      <c r="M16" s="50">
        <f>[5]Worksheet!H16</f>
        <v>84.666666666666671</v>
      </c>
      <c r="N16" s="18">
        <f t="shared" si="1"/>
        <v>84.666666666666671</v>
      </c>
      <c r="O16" s="18">
        <f t="shared" si="2"/>
        <v>84.666666666666671</v>
      </c>
      <c r="P16" s="35">
        <f t="shared" si="0"/>
        <v>84.666666666666671</v>
      </c>
      <c r="R16" s="5"/>
    </row>
    <row r="17" spans="1:18">
      <c r="A17" s="4">
        <v>8</v>
      </c>
      <c r="B17" s="29" t="s">
        <v>63</v>
      </c>
      <c r="C17" s="49">
        <f>[5]Worksheet!D17</f>
        <v>88.333333333333329</v>
      </c>
      <c r="D17" s="49">
        <f>[5]Worksheet!E17</f>
        <v>88.333333333333329</v>
      </c>
      <c r="E17" s="6"/>
      <c r="F17" s="20"/>
      <c r="G17" s="20"/>
      <c r="H17" s="49">
        <f>[5]Worksheet!F17</f>
        <v>88.333333333333329</v>
      </c>
      <c r="I17" s="49">
        <f>[5]Worksheet!G17</f>
        <v>88.333333333333329</v>
      </c>
      <c r="J17" s="4"/>
      <c r="K17" s="4"/>
      <c r="L17" s="4"/>
      <c r="M17" s="50">
        <f>[5]Worksheet!H17</f>
        <v>88.333333333333329</v>
      </c>
      <c r="N17" s="18">
        <f t="shared" si="1"/>
        <v>88.333333333333329</v>
      </c>
      <c r="O17" s="18">
        <f t="shared" si="2"/>
        <v>88.333333333333329</v>
      </c>
      <c r="P17" s="35">
        <f t="shared" si="0"/>
        <v>88.333333333333329</v>
      </c>
      <c r="R17" s="5"/>
    </row>
    <row r="18" spans="1:18">
      <c r="A18" s="4">
        <v>9</v>
      </c>
      <c r="B18" s="29" t="s">
        <v>145</v>
      </c>
      <c r="C18" s="49">
        <f>[5]Worksheet!D18</f>
        <v>85.333333333333329</v>
      </c>
      <c r="D18" s="49">
        <f>[5]Worksheet!E18</f>
        <v>85.333333333333329</v>
      </c>
      <c r="E18" s="6"/>
      <c r="F18" s="20"/>
      <c r="G18" s="20"/>
      <c r="H18" s="49">
        <f>[5]Worksheet!F18</f>
        <v>85.333333333333329</v>
      </c>
      <c r="I18" s="49">
        <f>[5]Worksheet!G18</f>
        <v>85.333333333333329</v>
      </c>
      <c r="J18" s="4"/>
      <c r="K18" s="4"/>
      <c r="L18" s="4"/>
      <c r="M18" s="50">
        <f>[5]Worksheet!H18</f>
        <v>85.333333333333329</v>
      </c>
      <c r="N18" s="18">
        <f t="shared" si="1"/>
        <v>85.333333333333329</v>
      </c>
      <c r="O18" s="18">
        <f t="shared" si="2"/>
        <v>85.333333333333329</v>
      </c>
      <c r="P18" s="35">
        <f t="shared" si="0"/>
        <v>85.333333333333329</v>
      </c>
      <c r="R18" s="5"/>
    </row>
    <row r="19" spans="1:18">
      <c r="A19" s="4">
        <v>10</v>
      </c>
      <c r="B19" s="29" t="s">
        <v>64</v>
      </c>
      <c r="C19" s="49">
        <f>[5]Worksheet!D19</f>
        <v>84.333333333333329</v>
      </c>
      <c r="D19" s="49">
        <f>[5]Worksheet!E19</f>
        <v>84.333333333333329</v>
      </c>
      <c r="E19" s="6"/>
      <c r="F19" s="20"/>
      <c r="G19" s="20"/>
      <c r="H19" s="49">
        <f>[5]Worksheet!F19</f>
        <v>84.333333333333329</v>
      </c>
      <c r="I19" s="49">
        <f>[5]Worksheet!G19</f>
        <v>84.333333333333329</v>
      </c>
      <c r="J19" s="4"/>
      <c r="K19" s="4"/>
      <c r="L19" s="4"/>
      <c r="M19" s="50">
        <f>[5]Worksheet!H19</f>
        <v>84.333333333333329</v>
      </c>
      <c r="N19" s="18">
        <f t="shared" si="1"/>
        <v>84.333333333333329</v>
      </c>
      <c r="O19" s="18">
        <f t="shared" si="2"/>
        <v>84.333333333333329</v>
      </c>
      <c r="P19" s="35">
        <f t="shared" si="0"/>
        <v>84.333333333333329</v>
      </c>
      <c r="R19" s="5"/>
    </row>
    <row r="20" spans="1:18">
      <c r="A20" s="4">
        <v>11</v>
      </c>
      <c r="B20" s="29" t="s">
        <v>65</v>
      </c>
      <c r="C20" s="49">
        <f>[5]Worksheet!D20</f>
        <v>80</v>
      </c>
      <c r="D20" s="49">
        <f>[5]Worksheet!E20</f>
        <v>80</v>
      </c>
      <c r="E20" s="6"/>
      <c r="F20" s="20"/>
      <c r="G20" s="20"/>
      <c r="H20" s="49">
        <f>[5]Worksheet!F20</f>
        <v>80</v>
      </c>
      <c r="I20" s="49">
        <f>[5]Worksheet!G20</f>
        <v>80</v>
      </c>
      <c r="J20" s="4"/>
      <c r="K20" s="4"/>
      <c r="L20" s="4"/>
      <c r="M20" s="50">
        <f>[5]Worksheet!H20</f>
        <v>80</v>
      </c>
      <c r="N20" s="18">
        <f t="shared" si="1"/>
        <v>80</v>
      </c>
      <c r="O20" s="18">
        <f t="shared" si="2"/>
        <v>80</v>
      </c>
      <c r="P20" s="35">
        <f t="shared" si="0"/>
        <v>80</v>
      </c>
      <c r="R20" s="5"/>
    </row>
    <row r="21" spans="1:18">
      <c r="A21" s="4">
        <v>12</v>
      </c>
      <c r="B21" s="29" t="s">
        <v>146</v>
      </c>
      <c r="C21" s="49">
        <f>[5]Worksheet!D21</f>
        <v>77.333333333333329</v>
      </c>
      <c r="D21" s="49">
        <f>[5]Worksheet!E21</f>
        <v>77.333333333333329</v>
      </c>
      <c r="E21" s="6"/>
      <c r="F21" s="20"/>
      <c r="G21" s="20"/>
      <c r="H21" s="49">
        <f>[5]Worksheet!F21</f>
        <v>77.333333333333329</v>
      </c>
      <c r="I21" s="49">
        <f>[5]Worksheet!G21</f>
        <v>77.333333333333329</v>
      </c>
      <c r="J21" s="4"/>
      <c r="K21" s="4"/>
      <c r="L21" s="4"/>
      <c r="M21" s="50">
        <f>[5]Worksheet!H21</f>
        <v>77.333333333333329</v>
      </c>
      <c r="N21" s="18">
        <f t="shared" si="1"/>
        <v>77.333333333333329</v>
      </c>
      <c r="O21" s="18">
        <f t="shared" si="2"/>
        <v>77.333333333333329</v>
      </c>
      <c r="P21" s="35">
        <f t="shared" si="0"/>
        <v>77.333333333333329</v>
      </c>
      <c r="R21" s="5"/>
    </row>
    <row r="22" spans="1:18">
      <c r="A22" s="4">
        <v>13</v>
      </c>
      <c r="B22" s="29" t="s">
        <v>147</v>
      </c>
      <c r="C22" s="49">
        <f>[5]Worksheet!D22</f>
        <v>86</v>
      </c>
      <c r="D22" s="49">
        <f>[5]Worksheet!E22</f>
        <v>86</v>
      </c>
      <c r="E22" s="6"/>
      <c r="F22" s="20"/>
      <c r="G22" s="20"/>
      <c r="H22" s="49">
        <f>[5]Worksheet!F22</f>
        <v>86</v>
      </c>
      <c r="I22" s="49">
        <f>[5]Worksheet!G22</f>
        <v>86</v>
      </c>
      <c r="J22" s="4"/>
      <c r="K22" s="4"/>
      <c r="L22" s="4"/>
      <c r="M22" s="50">
        <f>[5]Worksheet!H22</f>
        <v>86</v>
      </c>
      <c r="N22" s="18">
        <f t="shared" si="1"/>
        <v>86</v>
      </c>
      <c r="O22" s="18">
        <f t="shared" si="2"/>
        <v>86</v>
      </c>
      <c r="P22" s="35">
        <f t="shared" si="0"/>
        <v>86</v>
      </c>
      <c r="R22" s="5"/>
    </row>
    <row r="23" spans="1:18">
      <c r="A23" s="4">
        <v>14</v>
      </c>
      <c r="B23" s="29" t="s">
        <v>66</v>
      </c>
      <c r="C23" s="49">
        <f>[5]Worksheet!D23</f>
        <v>85.666666666666671</v>
      </c>
      <c r="D23" s="49">
        <f>[5]Worksheet!E23</f>
        <v>85.666666666666671</v>
      </c>
      <c r="E23" s="6"/>
      <c r="F23" s="20"/>
      <c r="G23" s="20"/>
      <c r="H23" s="49">
        <f>[5]Worksheet!F23</f>
        <v>85.666666666666671</v>
      </c>
      <c r="I23" s="49">
        <f>[5]Worksheet!G23</f>
        <v>85.666666666666671</v>
      </c>
      <c r="J23" s="4"/>
      <c r="K23" s="4"/>
      <c r="L23" s="4"/>
      <c r="M23" s="50">
        <f>[5]Worksheet!H23</f>
        <v>85.666666666666671</v>
      </c>
      <c r="N23" s="18">
        <f t="shared" si="1"/>
        <v>85.666666666666671</v>
      </c>
      <c r="O23" s="18">
        <f t="shared" si="2"/>
        <v>85.666666666666671</v>
      </c>
      <c r="P23" s="35">
        <f t="shared" si="0"/>
        <v>85.666666666666671</v>
      </c>
      <c r="R23" s="5"/>
    </row>
    <row r="24" spans="1:18">
      <c r="A24" s="4">
        <v>15</v>
      </c>
      <c r="B24" s="29" t="s">
        <v>67</v>
      </c>
      <c r="C24" s="49">
        <f>[5]Worksheet!D24</f>
        <v>87.333333333333329</v>
      </c>
      <c r="D24" s="49">
        <f>[5]Worksheet!E24</f>
        <v>87.333333333333329</v>
      </c>
      <c r="E24" s="6"/>
      <c r="F24" s="20"/>
      <c r="G24" s="20"/>
      <c r="H24" s="49">
        <f>[5]Worksheet!F24</f>
        <v>87.333333333333329</v>
      </c>
      <c r="I24" s="49">
        <f>[5]Worksheet!G24</f>
        <v>87.333333333333329</v>
      </c>
      <c r="J24" s="4"/>
      <c r="K24" s="4"/>
      <c r="L24" s="4"/>
      <c r="M24" s="50">
        <f>[5]Worksheet!H24</f>
        <v>87.333333333333329</v>
      </c>
      <c r="N24" s="18">
        <f t="shared" si="1"/>
        <v>87.333333333333329</v>
      </c>
      <c r="O24" s="18">
        <f t="shared" si="2"/>
        <v>87.333333333333329</v>
      </c>
      <c r="P24" s="35">
        <f t="shared" si="0"/>
        <v>87.333333333333329</v>
      </c>
      <c r="R24" s="5"/>
    </row>
    <row r="25" spans="1:18">
      <c r="A25" s="4">
        <v>16</v>
      </c>
      <c r="B25" s="29" t="s">
        <v>68</v>
      </c>
      <c r="C25" s="49">
        <f>[5]Worksheet!D25</f>
        <v>78.333333333333329</v>
      </c>
      <c r="D25" s="49">
        <f>[5]Worksheet!E25</f>
        <v>78.333333333333329</v>
      </c>
      <c r="E25" s="6"/>
      <c r="F25" s="20"/>
      <c r="G25" s="20"/>
      <c r="H25" s="49">
        <f>[5]Worksheet!F25</f>
        <v>78.333333333333329</v>
      </c>
      <c r="I25" s="49">
        <f>[5]Worksheet!G25</f>
        <v>78.333333333333329</v>
      </c>
      <c r="J25" s="4"/>
      <c r="K25" s="4"/>
      <c r="L25" s="4"/>
      <c r="M25" s="50">
        <f>[5]Worksheet!H25</f>
        <v>78.333333333333329</v>
      </c>
      <c r="N25" s="18">
        <f t="shared" si="1"/>
        <v>78.333333333333329</v>
      </c>
      <c r="O25" s="18">
        <f t="shared" si="2"/>
        <v>78.333333333333329</v>
      </c>
      <c r="P25" s="35">
        <f t="shared" si="0"/>
        <v>78.333333333333329</v>
      </c>
      <c r="R25" s="5"/>
    </row>
    <row r="26" spans="1:18">
      <c r="A26" s="4">
        <v>17</v>
      </c>
      <c r="B26" s="29" t="s">
        <v>69</v>
      </c>
      <c r="C26" s="49">
        <f>[5]Worksheet!D26</f>
        <v>89.333333333333329</v>
      </c>
      <c r="D26" s="49">
        <f>[5]Worksheet!E26</f>
        <v>89.333333333333329</v>
      </c>
      <c r="E26" s="6"/>
      <c r="F26" s="20"/>
      <c r="G26" s="20"/>
      <c r="H26" s="49">
        <f>[5]Worksheet!F26</f>
        <v>89.333333333333329</v>
      </c>
      <c r="I26" s="49">
        <f>[5]Worksheet!G26</f>
        <v>89.333333333333329</v>
      </c>
      <c r="J26" s="4"/>
      <c r="K26" s="4"/>
      <c r="L26" s="4"/>
      <c r="M26" s="50">
        <f>[5]Worksheet!H26</f>
        <v>89.333333333333329</v>
      </c>
      <c r="N26" s="18">
        <f t="shared" si="1"/>
        <v>89.333333333333329</v>
      </c>
      <c r="O26" s="18">
        <f t="shared" si="2"/>
        <v>89.333333333333329</v>
      </c>
      <c r="P26" s="35">
        <f t="shared" si="0"/>
        <v>89.333333333333329</v>
      </c>
      <c r="R26" s="5"/>
    </row>
    <row r="27" spans="1:18">
      <c r="A27" s="4">
        <v>18</v>
      </c>
      <c r="B27" s="29" t="s">
        <v>70</v>
      </c>
      <c r="C27" s="49">
        <f>[5]Worksheet!D27</f>
        <v>77.666666666666671</v>
      </c>
      <c r="D27" s="49">
        <f>[5]Worksheet!E27</f>
        <v>77.666666666666671</v>
      </c>
      <c r="E27" s="6"/>
      <c r="F27" s="20"/>
      <c r="G27" s="20"/>
      <c r="H27" s="49">
        <f>[5]Worksheet!F27</f>
        <v>77.666666666666671</v>
      </c>
      <c r="I27" s="49">
        <f>[5]Worksheet!G27</f>
        <v>77.666666666666671</v>
      </c>
      <c r="J27" s="4"/>
      <c r="K27" s="4"/>
      <c r="L27" s="4"/>
      <c r="M27" s="50">
        <f>[5]Worksheet!H27</f>
        <v>77.666666666666671</v>
      </c>
      <c r="N27" s="18">
        <f t="shared" si="1"/>
        <v>77.666666666666671</v>
      </c>
      <c r="O27" s="18">
        <f t="shared" si="2"/>
        <v>77.666666666666671</v>
      </c>
      <c r="P27" s="35">
        <f t="shared" si="0"/>
        <v>77.666666666666671</v>
      </c>
      <c r="R27" s="5"/>
    </row>
    <row r="28" spans="1:18">
      <c r="A28" s="4">
        <v>19</v>
      </c>
      <c r="B28" s="29" t="s">
        <v>148</v>
      </c>
      <c r="C28" s="49">
        <f>[5]Worksheet!D28</f>
        <v>88.333333333333329</v>
      </c>
      <c r="D28" s="49">
        <f>[5]Worksheet!E28</f>
        <v>88.333333333333329</v>
      </c>
      <c r="E28" s="6"/>
      <c r="F28" s="20"/>
      <c r="G28" s="20"/>
      <c r="H28" s="49">
        <f>[5]Worksheet!F28</f>
        <v>88.333333333333329</v>
      </c>
      <c r="I28" s="49">
        <f>[5]Worksheet!G28</f>
        <v>88.333333333333329</v>
      </c>
      <c r="J28" s="4"/>
      <c r="K28" s="4"/>
      <c r="L28" s="4"/>
      <c r="M28" s="50">
        <f>[5]Worksheet!H28</f>
        <v>88.333333333333329</v>
      </c>
      <c r="N28" s="18">
        <f t="shared" si="1"/>
        <v>88.333333333333329</v>
      </c>
      <c r="O28" s="18">
        <f t="shared" si="2"/>
        <v>88.333333333333329</v>
      </c>
      <c r="P28" s="35">
        <f t="shared" si="0"/>
        <v>88.333333333333329</v>
      </c>
      <c r="R28" s="5"/>
    </row>
    <row r="29" spans="1:18">
      <c r="A29" s="4">
        <v>20</v>
      </c>
      <c r="B29" s="29" t="s">
        <v>149</v>
      </c>
      <c r="C29" s="49">
        <f>[5]Worksheet!D29</f>
        <v>80.666666666666671</v>
      </c>
      <c r="D29" s="49">
        <f>[5]Worksheet!E29</f>
        <v>80.666666666666671</v>
      </c>
      <c r="E29" s="6"/>
      <c r="F29" s="20"/>
      <c r="G29" s="20"/>
      <c r="H29" s="49">
        <f>[5]Worksheet!F29</f>
        <v>80.666666666666671</v>
      </c>
      <c r="I29" s="49">
        <f>[5]Worksheet!G29</f>
        <v>80.666666666666671</v>
      </c>
      <c r="J29" s="4"/>
      <c r="K29" s="4"/>
      <c r="L29" s="4"/>
      <c r="M29" s="50">
        <f>[5]Worksheet!H29</f>
        <v>80.666666666666671</v>
      </c>
      <c r="N29" s="18">
        <f t="shared" si="1"/>
        <v>80.666666666666671</v>
      </c>
      <c r="O29" s="18">
        <f t="shared" si="2"/>
        <v>80.666666666666671</v>
      </c>
      <c r="P29" s="35">
        <f t="shared" si="0"/>
        <v>80.666666666666671</v>
      </c>
      <c r="R29" s="5"/>
    </row>
    <row r="30" spans="1:18">
      <c r="A30" s="4">
        <v>21</v>
      </c>
      <c r="B30" s="29" t="s">
        <v>71</v>
      </c>
      <c r="C30" s="49">
        <f>[5]Worksheet!D30</f>
        <v>89</v>
      </c>
      <c r="D30" s="49">
        <f>[5]Worksheet!E30</f>
        <v>89</v>
      </c>
      <c r="E30" s="6"/>
      <c r="F30" s="20"/>
      <c r="G30" s="20"/>
      <c r="H30" s="49">
        <f>[5]Worksheet!F30</f>
        <v>89</v>
      </c>
      <c r="I30" s="49">
        <f>[5]Worksheet!G30</f>
        <v>89</v>
      </c>
      <c r="J30" s="4"/>
      <c r="K30" s="4"/>
      <c r="L30" s="4"/>
      <c r="M30" s="50">
        <f>[5]Worksheet!H30</f>
        <v>89</v>
      </c>
      <c r="N30" s="18">
        <f t="shared" si="1"/>
        <v>89</v>
      </c>
      <c r="O30" s="18">
        <f t="shared" si="2"/>
        <v>89</v>
      </c>
      <c r="P30" s="35">
        <f t="shared" si="0"/>
        <v>89</v>
      </c>
      <c r="R30" s="5"/>
    </row>
    <row r="31" spans="1:18">
      <c r="A31" s="4">
        <v>22</v>
      </c>
      <c r="B31" s="29" t="s">
        <v>72</v>
      </c>
      <c r="C31" s="49">
        <f>[5]Worksheet!D31</f>
        <v>88.666666666666671</v>
      </c>
      <c r="D31" s="49">
        <f>[5]Worksheet!E31</f>
        <v>88.666666666666671</v>
      </c>
      <c r="E31" s="6"/>
      <c r="F31" s="20"/>
      <c r="G31" s="20"/>
      <c r="H31" s="49">
        <f>[5]Worksheet!F31</f>
        <v>88.666666666666671</v>
      </c>
      <c r="I31" s="49">
        <f>[5]Worksheet!G31</f>
        <v>88.666666666666671</v>
      </c>
      <c r="J31" s="4"/>
      <c r="K31" s="4"/>
      <c r="L31" s="4"/>
      <c r="M31" s="50">
        <f>[5]Worksheet!H31</f>
        <v>88.666666666666671</v>
      </c>
      <c r="N31" s="18">
        <f t="shared" si="1"/>
        <v>88.666666666666671</v>
      </c>
      <c r="O31" s="18">
        <f t="shared" si="2"/>
        <v>88.666666666666671</v>
      </c>
      <c r="P31" s="35">
        <f t="shared" si="0"/>
        <v>88.666666666666671</v>
      </c>
      <c r="R31" s="5"/>
    </row>
    <row r="32" spans="1:18">
      <c r="A32" s="3"/>
      <c r="Q32" s="3"/>
      <c r="R32" s="3"/>
    </row>
    <row r="34" spans="14:14">
      <c r="N34" s="2" t="s">
        <v>76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3CB5-17C3-46E1-BEE0-F19160D127C5}">
  <dimension ref="A1:R48"/>
  <sheetViews>
    <sheetView topLeftCell="A6" zoomScale="50" zoomScaleNormal="50" workbookViewId="0">
      <selection activeCell="B41" sqref="B41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"/>
      <c r="R1" s="3"/>
    </row>
    <row r="2" spans="1:18" ht="17.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39" t="s">
        <v>2</v>
      </c>
      <c r="B8" s="40" t="s">
        <v>3</v>
      </c>
      <c r="C8" s="41" t="s">
        <v>25</v>
      </c>
      <c r="D8" s="41"/>
      <c r="E8" s="41"/>
      <c r="F8" s="41"/>
      <c r="G8" s="41"/>
      <c r="H8" s="42" t="s">
        <v>26</v>
      </c>
      <c r="I8" s="42"/>
      <c r="J8" s="42"/>
      <c r="K8" s="42"/>
      <c r="L8" s="42"/>
      <c r="M8" s="14" t="s">
        <v>9</v>
      </c>
      <c r="N8" s="43" t="s">
        <v>23</v>
      </c>
      <c r="O8" s="44"/>
      <c r="P8" s="10" t="s">
        <v>10</v>
      </c>
      <c r="R8" s="1" t="s">
        <v>16</v>
      </c>
    </row>
    <row r="9" spans="1:18">
      <c r="A9" s="39"/>
      <c r="B9" s="40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81</v>
      </c>
      <c r="C10" s="22">
        <f>[2]Worksheet!D10</f>
        <v>90</v>
      </c>
      <c r="D10" s="45">
        <f>[2]Worksheet!D10</f>
        <v>90</v>
      </c>
      <c r="E10" s="12"/>
      <c r="F10" s="19"/>
      <c r="G10" s="19"/>
      <c r="H10" s="22">
        <f>[2]Worksheet!E10</f>
        <v>86</v>
      </c>
      <c r="I10" s="22">
        <f>[2]Worksheet!E10</f>
        <v>86</v>
      </c>
      <c r="J10" s="13"/>
      <c r="K10" s="13"/>
      <c r="L10" s="13"/>
      <c r="M10" s="18">
        <f>[2]Worksheet!F10</f>
        <v>77</v>
      </c>
      <c r="N10" s="18">
        <f>AVERAGE(C10:D10)</f>
        <v>90</v>
      </c>
      <c r="O10" s="18">
        <f>AVERAGE(H10:I10)</f>
        <v>86</v>
      </c>
      <c r="P10" s="35">
        <f>AVERAGE(M10:O10)</f>
        <v>84.333333333333329</v>
      </c>
      <c r="R10" s="2" t="s">
        <v>17</v>
      </c>
    </row>
    <row r="11" spans="1:18">
      <c r="A11" s="4">
        <v>2</v>
      </c>
      <c r="B11" s="29" t="s">
        <v>108</v>
      </c>
      <c r="C11" s="22">
        <f>[2]Worksheet!D11</f>
        <v>85</v>
      </c>
      <c r="D11" s="45">
        <f>[2]Worksheet!D11</f>
        <v>85</v>
      </c>
      <c r="E11" s="6"/>
      <c r="F11" s="20"/>
      <c r="G11" s="20"/>
      <c r="H11" s="22">
        <f>[2]Worksheet!E11</f>
        <v>92</v>
      </c>
      <c r="I11" s="22">
        <f>[2]Worksheet!E11</f>
        <v>92</v>
      </c>
      <c r="J11" s="4"/>
      <c r="K11" s="4"/>
      <c r="L11" s="4"/>
      <c r="M11" s="18">
        <f>[2]Worksheet!F11</f>
        <v>78</v>
      </c>
      <c r="N11" s="18">
        <f t="shared" ref="N11:N41" si="0">AVERAGE(C11:D11)</f>
        <v>85</v>
      </c>
      <c r="O11" s="18">
        <f t="shared" ref="O11:O41" si="1">AVERAGE(H11:I11)</f>
        <v>92</v>
      </c>
      <c r="P11" s="35">
        <f t="shared" ref="P11:P41" si="2">AVERAGE(M11:O11)</f>
        <v>85</v>
      </c>
      <c r="R11" s="2" t="s">
        <v>19</v>
      </c>
    </row>
    <row r="12" spans="1:18">
      <c r="A12" s="4">
        <v>3</v>
      </c>
      <c r="B12" s="29" t="s">
        <v>82</v>
      </c>
      <c r="C12" s="22">
        <f>[2]Worksheet!D12</f>
        <v>87</v>
      </c>
      <c r="D12" s="45">
        <f>[2]Worksheet!D12</f>
        <v>87</v>
      </c>
      <c r="E12" s="6"/>
      <c r="F12" s="20"/>
      <c r="G12" s="20"/>
      <c r="H12" s="22">
        <f>[2]Worksheet!E12</f>
        <v>90</v>
      </c>
      <c r="I12" s="22">
        <f>[2]Worksheet!E12</f>
        <v>90</v>
      </c>
      <c r="J12" s="4"/>
      <c r="K12" s="4"/>
      <c r="L12" s="4"/>
      <c r="M12" s="18">
        <f>[2]Worksheet!F12</f>
        <v>64</v>
      </c>
      <c r="N12" s="18">
        <f t="shared" si="0"/>
        <v>87</v>
      </c>
      <c r="O12" s="18">
        <f t="shared" si="1"/>
        <v>90</v>
      </c>
      <c r="P12" s="35">
        <f t="shared" si="2"/>
        <v>80.333333333333329</v>
      </c>
      <c r="R12" s="2" t="s">
        <v>20</v>
      </c>
    </row>
    <row r="13" spans="1:18">
      <c r="A13" s="4">
        <v>4</v>
      </c>
      <c r="B13" s="29" t="s">
        <v>83</v>
      </c>
      <c r="C13" s="22">
        <f>[2]Worksheet!D13</f>
        <v>88</v>
      </c>
      <c r="D13" s="45">
        <f>[2]Worksheet!D13</f>
        <v>88</v>
      </c>
      <c r="E13" s="6"/>
      <c r="F13" s="20"/>
      <c r="G13" s="20"/>
      <c r="H13" s="22">
        <f>[2]Worksheet!E13</f>
        <v>94</v>
      </c>
      <c r="I13" s="22">
        <f>[2]Worksheet!E13</f>
        <v>94</v>
      </c>
      <c r="J13" s="4"/>
      <c r="K13" s="4"/>
      <c r="L13" s="4"/>
      <c r="M13" s="18">
        <f>[2]Worksheet!F13</f>
        <v>84</v>
      </c>
      <c r="N13" s="18">
        <f t="shared" si="0"/>
        <v>88</v>
      </c>
      <c r="O13" s="18">
        <f t="shared" si="1"/>
        <v>94</v>
      </c>
      <c r="P13" s="35">
        <f t="shared" si="2"/>
        <v>88.666666666666671</v>
      </c>
      <c r="R13" s="2" t="s">
        <v>21</v>
      </c>
    </row>
    <row r="14" spans="1:18">
      <c r="A14" s="4">
        <v>5</v>
      </c>
      <c r="B14" s="29" t="s">
        <v>84</v>
      </c>
      <c r="C14" s="22">
        <f>[2]Worksheet!D14</f>
        <v>85</v>
      </c>
      <c r="D14" s="45">
        <f>[2]Worksheet!D14</f>
        <v>85</v>
      </c>
      <c r="E14" s="6"/>
      <c r="F14" s="20"/>
      <c r="G14" s="20"/>
      <c r="H14" s="22">
        <f>[2]Worksheet!E14</f>
        <v>90</v>
      </c>
      <c r="I14" s="22">
        <f>[2]Worksheet!E14</f>
        <v>90</v>
      </c>
      <c r="J14" s="4"/>
      <c r="K14" s="4"/>
      <c r="L14" s="4"/>
      <c r="M14" s="18">
        <f>[2]Worksheet!F14</f>
        <v>70</v>
      </c>
      <c r="N14" s="18">
        <f t="shared" si="0"/>
        <v>85</v>
      </c>
      <c r="O14" s="18">
        <f t="shared" si="1"/>
        <v>90</v>
      </c>
      <c r="P14" s="35">
        <f t="shared" si="2"/>
        <v>81.666666666666671</v>
      </c>
      <c r="R14" s="2" t="s">
        <v>12</v>
      </c>
    </row>
    <row r="15" spans="1:18">
      <c r="A15" s="4">
        <v>6</v>
      </c>
      <c r="B15" s="29" t="s">
        <v>85</v>
      </c>
      <c r="C15" s="22">
        <f>[2]Worksheet!D15</f>
        <v>90</v>
      </c>
      <c r="D15" s="45">
        <f>[2]Worksheet!D15</f>
        <v>90</v>
      </c>
      <c r="E15" s="18"/>
      <c r="F15" s="18"/>
      <c r="G15" s="20"/>
      <c r="H15" s="22">
        <f>[2]Worksheet!E15</f>
        <v>95</v>
      </c>
      <c r="I15" s="22">
        <f>[2]Worksheet!E15</f>
        <v>95</v>
      </c>
      <c r="J15" s="4"/>
      <c r="K15" s="4"/>
      <c r="L15" s="4"/>
      <c r="M15" s="18">
        <f>[2]Worksheet!F15</f>
        <v>41</v>
      </c>
      <c r="N15" s="18">
        <f t="shared" si="0"/>
        <v>90</v>
      </c>
      <c r="O15" s="18">
        <f t="shared" si="1"/>
        <v>95</v>
      </c>
      <c r="P15" s="35">
        <f t="shared" si="2"/>
        <v>75.333333333333329</v>
      </c>
      <c r="R15" s="5"/>
    </row>
    <row r="16" spans="1:18">
      <c r="A16" s="4">
        <v>7</v>
      </c>
      <c r="B16" s="29" t="s">
        <v>86</v>
      </c>
      <c r="C16" s="22">
        <f>[2]Worksheet!D16</f>
        <v>94</v>
      </c>
      <c r="D16" s="45">
        <f>[2]Worksheet!D16</f>
        <v>94</v>
      </c>
      <c r="E16" s="6"/>
      <c r="F16" s="20"/>
      <c r="G16" s="20"/>
      <c r="H16" s="22">
        <f>[2]Worksheet!E16</f>
        <v>88</v>
      </c>
      <c r="I16" s="22">
        <f>[2]Worksheet!E16</f>
        <v>88</v>
      </c>
      <c r="J16" s="4"/>
      <c r="K16" s="4"/>
      <c r="L16" s="4"/>
      <c r="M16" s="18">
        <f>[2]Worksheet!F16</f>
        <v>76</v>
      </c>
      <c r="N16" s="18">
        <f t="shared" si="0"/>
        <v>94</v>
      </c>
      <c r="O16" s="18">
        <f t="shared" si="1"/>
        <v>88</v>
      </c>
      <c r="P16" s="35">
        <f t="shared" si="2"/>
        <v>86</v>
      </c>
      <c r="R16" s="5"/>
    </row>
    <row r="17" spans="1:18">
      <c r="A17" s="4">
        <v>8</v>
      </c>
      <c r="B17" s="29" t="s">
        <v>87</v>
      </c>
      <c r="C17" s="22">
        <f>[2]Worksheet!D17</f>
        <v>87</v>
      </c>
      <c r="D17" s="45">
        <f>[2]Worksheet!D17</f>
        <v>87</v>
      </c>
      <c r="E17" s="6"/>
      <c r="F17" s="20"/>
      <c r="G17" s="20"/>
      <c r="H17" s="22">
        <f>[2]Worksheet!E17</f>
        <v>87</v>
      </c>
      <c r="I17" s="22">
        <f>[2]Worksheet!E17</f>
        <v>87</v>
      </c>
      <c r="J17" s="4"/>
      <c r="K17" s="4"/>
      <c r="L17" s="4"/>
      <c r="M17" s="18">
        <f>[2]Worksheet!F17</f>
        <v>96</v>
      </c>
      <c r="N17" s="18">
        <f t="shared" si="0"/>
        <v>87</v>
      </c>
      <c r="O17" s="18">
        <f t="shared" si="1"/>
        <v>87</v>
      </c>
      <c r="P17" s="35">
        <f t="shared" si="2"/>
        <v>90</v>
      </c>
      <c r="R17" s="5"/>
    </row>
    <row r="18" spans="1:18">
      <c r="A18" s="4">
        <v>9</v>
      </c>
      <c r="B18" s="29" t="s">
        <v>109</v>
      </c>
      <c r="C18" s="22">
        <f>[2]Worksheet!D18</f>
        <v>85</v>
      </c>
      <c r="D18" s="45">
        <f>[2]Worksheet!D18</f>
        <v>85</v>
      </c>
      <c r="E18" s="6"/>
      <c r="F18" s="20"/>
      <c r="G18" s="20"/>
      <c r="H18" s="22">
        <f>[2]Worksheet!E18</f>
        <v>80</v>
      </c>
      <c r="I18" s="22">
        <f>[2]Worksheet!E18</f>
        <v>80</v>
      </c>
      <c r="J18" s="4"/>
      <c r="K18" s="4"/>
      <c r="L18" s="4"/>
      <c r="M18" s="18">
        <f>[2]Worksheet!F18</f>
        <v>76</v>
      </c>
      <c r="N18" s="18">
        <f t="shared" si="0"/>
        <v>85</v>
      </c>
      <c r="O18" s="18">
        <f t="shared" si="1"/>
        <v>80</v>
      </c>
      <c r="P18" s="35">
        <f t="shared" si="2"/>
        <v>80.333333333333329</v>
      </c>
      <c r="R18" s="5"/>
    </row>
    <row r="19" spans="1:18">
      <c r="A19" s="15">
        <v>10</v>
      </c>
      <c r="B19" s="29" t="s">
        <v>88</v>
      </c>
      <c r="C19" s="22">
        <f>[2]Worksheet!D19</f>
        <v>92</v>
      </c>
      <c r="D19" s="45">
        <f>[2]Worksheet!D19</f>
        <v>92</v>
      </c>
      <c r="E19" s="16"/>
      <c r="F19" s="18"/>
      <c r="G19" s="18"/>
      <c r="H19" s="22">
        <f>[2]Worksheet!E19</f>
        <v>92</v>
      </c>
      <c r="I19" s="22">
        <f>[2]Worksheet!E19</f>
        <v>92</v>
      </c>
      <c r="J19" s="15"/>
      <c r="K19" s="15"/>
      <c r="L19" s="15"/>
      <c r="M19" s="18">
        <f>[2]Worksheet!F19</f>
        <v>87</v>
      </c>
      <c r="N19" s="18">
        <f t="shared" si="0"/>
        <v>92</v>
      </c>
      <c r="O19" s="18">
        <f t="shared" si="1"/>
        <v>92</v>
      </c>
      <c r="P19" s="35">
        <f t="shared" si="2"/>
        <v>90.333333333333329</v>
      </c>
      <c r="R19" s="5"/>
    </row>
    <row r="20" spans="1:18">
      <c r="A20" s="4">
        <v>11</v>
      </c>
      <c r="B20" s="29" t="s">
        <v>110</v>
      </c>
      <c r="C20" s="22">
        <f>[2]Worksheet!D20</f>
        <v>95</v>
      </c>
      <c r="D20" s="45">
        <f>[2]Worksheet!D20</f>
        <v>95</v>
      </c>
      <c r="E20" s="6"/>
      <c r="F20" s="20"/>
      <c r="G20" s="20"/>
      <c r="H20" s="22">
        <f>[2]Worksheet!E20</f>
        <v>90</v>
      </c>
      <c r="I20" s="22">
        <f>[2]Worksheet!E20</f>
        <v>90</v>
      </c>
      <c r="J20" s="4"/>
      <c r="K20" s="4"/>
      <c r="L20" s="4"/>
      <c r="M20" s="18">
        <f>[2]Worksheet!F20</f>
        <v>79</v>
      </c>
      <c r="N20" s="18">
        <f t="shared" si="0"/>
        <v>95</v>
      </c>
      <c r="O20" s="18">
        <f t="shared" si="1"/>
        <v>90</v>
      </c>
      <c r="P20" s="35">
        <f t="shared" si="2"/>
        <v>88</v>
      </c>
      <c r="R20" s="5"/>
    </row>
    <row r="21" spans="1:18">
      <c r="A21" s="4">
        <v>12</v>
      </c>
      <c r="B21" s="29" t="s">
        <v>168</v>
      </c>
      <c r="C21" s="22">
        <f>[2]Worksheet!D21</f>
        <v>95</v>
      </c>
      <c r="D21" s="45">
        <f>[2]Worksheet!D21</f>
        <v>95</v>
      </c>
      <c r="E21" s="6"/>
      <c r="F21" s="20"/>
      <c r="G21" s="20"/>
      <c r="H21" s="22">
        <f>[2]Worksheet!E21</f>
        <v>91</v>
      </c>
      <c r="I21" s="22">
        <f>[2]Worksheet!E21</f>
        <v>91</v>
      </c>
      <c r="J21" s="4"/>
      <c r="K21" s="4"/>
      <c r="L21" s="4"/>
      <c r="M21" s="18">
        <f>[2]Worksheet!F21</f>
        <v>67</v>
      </c>
      <c r="N21" s="18">
        <f t="shared" si="0"/>
        <v>95</v>
      </c>
      <c r="O21" s="18">
        <f t="shared" si="1"/>
        <v>91</v>
      </c>
      <c r="P21" s="35">
        <f t="shared" si="2"/>
        <v>84.333333333333329</v>
      </c>
      <c r="R21" s="5"/>
    </row>
    <row r="22" spans="1:18">
      <c r="A22" s="4">
        <v>13</v>
      </c>
      <c r="B22" s="29" t="s">
        <v>89</v>
      </c>
      <c r="C22" s="22">
        <f>[2]Worksheet!D22</f>
        <v>87</v>
      </c>
      <c r="D22" s="45">
        <f>[2]Worksheet!D22</f>
        <v>87</v>
      </c>
      <c r="E22" s="6"/>
      <c r="F22" s="20"/>
      <c r="G22" s="20"/>
      <c r="H22" s="22">
        <f>[2]Worksheet!E22</f>
        <v>98</v>
      </c>
      <c r="I22" s="22">
        <f>[2]Worksheet!E22</f>
        <v>98</v>
      </c>
      <c r="J22" s="4"/>
      <c r="K22" s="4"/>
      <c r="L22" s="4"/>
      <c r="M22" s="18">
        <f>[2]Worksheet!F22</f>
        <v>76</v>
      </c>
      <c r="N22" s="18">
        <f t="shared" si="0"/>
        <v>87</v>
      </c>
      <c r="O22" s="18">
        <f t="shared" si="1"/>
        <v>98</v>
      </c>
      <c r="P22" s="35">
        <f t="shared" si="2"/>
        <v>87</v>
      </c>
      <c r="R22" s="5"/>
    </row>
    <row r="23" spans="1:18">
      <c r="A23" s="4">
        <v>14</v>
      </c>
      <c r="B23" s="29" t="s">
        <v>111</v>
      </c>
      <c r="C23" s="22">
        <f>[2]Worksheet!D23</f>
        <v>90</v>
      </c>
      <c r="D23" s="45">
        <f>[2]Worksheet!D23</f>
        <v>90</v>
      </c>
      <c r="E23" s="6"/>
      <c r="F23" s="20"/>
      <c r="G23" s="20"/>
      <c r="H23" s="22">
        <f>[2]Worksheet!E23</f>
        <v>90</v>
      </c>
      <c r="I23" s="22">
        <f>[2]Worksheet!E23</f>
        <v>90</v>
      </c>
      <c r="J23" s="4"/>
      <c r="K23" s="4"/>
      <c r="L23" s="4"/>
      <c r="M23" s="18">
        <f>[2]Worksheet!F23</f>
        <v>95</v>
      </c>
      <c r="N23" s="18">
        <f t="shared" si="0"/>
        <v>90</v>
      </c>
      <c r="O23" s="18">
        <f t="shared" si="1"/>
        <v>90</v>
      </c>
      <c r="P23" s="35">
        <f t="shared" si="2"/>
        <v>91.666666666666671</v>
      </c>
      <c r="R23" s="5"/>
    </row>
    <row r="24" spans="1:18">
      <c r="A24" s="4">
        <v>15</v>
      </c>
      <c r="B24" s="29" t="s">
        <v>90</v>
      </c>
      <c r="C24" s="22">
        <f>[2]Worksheet!D24</f>
        <v>97</v>
      </c>
      <c r="D24" s="45">
        <f>[2]Worksheet!D24</f>
        <v>97</v>
      </c>
      <c r="E24" s="6"/>
      <c r="F24" s="20"/>
      <c r="G24" s="20"/>
      <c r="H24" s="22">
        <f>[2]Worksheet!E24</f>
        <v>92</v>
      </c>
      <c r="I24" s="22">
        <f>[2]Worksheet!E24</f>
        <v>92</v>
      </c>
      <c r="J24" s="4"/>
      <c r="K24" s="4"/>
      <c r="L24" s="4"/>
      <c r="M24" s="18">
        <f>[2]Worksheet!F24</f>
        <v>39</v>
      </c>
      <c r="N24" s="18">
        <f t="shared" si="0"/>
        <v>97</v>
      </c>
      <c r="O24" s="18">
        <f t="shared" si="1"/>
        <v>92</v>
      </c>
      <c r="P24" s="35">
        <f t="shared" si="2"/>
        <v>76</v>
      </c>
      <c r="R24" s="5"/>
    </row>
    <row r="25" spans="1:18">
      <c r="A25" s="4">
        <v>16</v>
      </c>
      <c r="B25" s="29" t="s">
        <v>91</v>
      </c>
      <c r="C25" s="22">
        <f>[2]Worksheet!D25</f>
        <v>85</v>
      </c>
      <c r="D25" s="45">
        <f>[2]Worksheet!D25</f>
        <v>85</v>
      </c>
      <c r="E25" s="6"/>
      <c r="F25" s="20"/>
      <c r="G25" s="20"/>
      <c r="H25" s="22">
        <f>[2]Worksheet!E25</f>
        <v>80</v>
      </c>
      <c r="I25" s="22">
        <f>[2]Worksheet!E25</f>
        <v>80</v>
      </c>
      <c r="J25" s="4"/>
      <c r="K25" s="4"/>
      <c r="L25" s="4"/>
      <c r="M25" s="18">
        <f>[2]Worksheet!F25</f>
        <v>91</v>
      </c>
      <c r="N25" s="18">
        <f t="shared" si="0"/>
        <v>85</v>
      </c>
      <c r="O25" s="18">
        <f t="shared" si="1"/>
        <v>80</v>
      </c>
      <c r="P25" s="35">
        <f t="shared" si="2"/>
        <v>85.333333333333329</v>
      </c>
      <c r="R25" s="5"/>
    </row>
    <row r="26" spans="1:18">
      <c r="A26" s="4">
        <v>17</v>
      </c>
      <c r="B26" s="29" t="s">
        <v>92</v>
      </c>
      <c r="C26" s="22">
        <f>[2]Worksheet!D26</f>
        <v>95</v>
      </c>
      <c r="D26" s="45">
        <f>[2]Worksheet!D26</f>
        <v>95</v>
      </c>
      <c r="E26" s="6"/>
      <c r="F26" s="20"/>
      <c r="G26" s="20"/>
      <c r="H26" s="22">
        <f>[2]Worksheet!E26</f>
        <v>95</v>
      </c>
      <c r="I26" s="22">
        <f>[2]Worksheet!E26</f>
        <v>95</v>
      </c>
      <c r="J26" s="4"/>
      <c r="K26" s="4"/>
      <c r="L26" s="4"/>
      <c r="M26" s="18">
        <f>[2]Worksheet!F26</f>
        <v>30</v>
      </c>
      <c r="N26" s="18">
        <f t="shared" si="0"/>
        <v>95</v>
      </c>
      <c r="O26" s="18">
        <f t="shared" si="1"/>
        <v>95</v>
      </c>
      <c r="P26" s="35">
        <f t="shared" si="2"/>
        <v>73.333333333333329</v>
      </c>
      <c r="R26" s="5"/>
    </row>
    <row r="27" spans="1:18">
      <c r="A27" s="4">
        <v>18</v>
      </c>
      <c r="B27" s="29" t="s">
        <v>93</v>
      </c>
      <c r="C27" s="22">
        <f>[2]Worksheet!D27</f>
        <v>86</v>
      </c>
      <c r="D27" s="45">
        <f>[2]Worksheet!D27</f>
        <v>86</v>
      </c>
      <c r="E27" s="6"/>
      <c r="F27" s="20"/>
      <c r="G27" s="20"/>
      <c r="H27" s="22">
        <f>[2]Worksheet!E27</f>
        <v>86</v>
      </c>
      <c r="I27" s="22">
        <f>[2]Worksheet!E27</f>
        <v>86</v>
      </c>
      <c r="J27" s="4"/>
      <c r="K27" s="4"/>
      <c r="L27" s="4"/>
      <c r="M27" s="18">
        <f>[2]Worksheet!F27</f>
        <v>93</v>
      </c>
      <c r="N27" s="18">
        <f t="shared" si="0"/>
        <v>86</v>
      </c>
      <c r="O27" s="18">
        <f t="shared" si="1"/>
        <v>86</v>
      </c>
      <c r="P27" s="35">
        <f t="shared" si="2"/>
        <v>88.333333333333329</v>
      </c>
      <c r="R27" s="5"/>
    </row>
    <row r="28" spans="1:18">
      <c r="A28" s="4">
        <v>19</v>
      </c>
      <c r="B28" s="29" t="s">
        <v>94</v>
      </c>
      <c r="C28" s="22">
        <f>[2]Worksheet!D28</f>
        <v>90</v>
      </c>
      <c r="D28" s="45">
        <f>[2]Worksheet!D28</f>
        <v>90</v>
      </c>
      <c r="E28" s="6"/>
      <c r="F28" s="20"/>
      <c r="G28" s="20"/>
      <c r="H28" s="22">
        <f>[2]Worksheet!E28</f>
        <v>95</v>
      </c>
      <c r="I28" s="22">
        <f>[2]Worksheet!E28</f>
        <v>95</v>
      </c>
      <c r="J28" s="4"/>
      <c r="K28" s="4"/>
      <c r="L28" s="4"/>
      <c r="M28" s="18">
        <f>[2]Worksheet!F28</f>
        <v>40</v>
      </c>
      <c r="N28" s="18">
        <f t="shared" si="0"/>
        <v>90</v>
      </c>
      <c r="O28" s="18">
        <f t="shared" si="1"/>
        <v>95</v>
      </c>
      <c r="P28" s="35">
        <f t="shared" si="2"/>
        <v>75</v>
      </c>
      <c r="R28" s="5"/>
    </row>
    <row r="29" spans="1:18">
      <c r="A29" s="4">
        <v>20</v>
      </c>
      <c r="B29" s="29" t="s">
        <v>95</v>
      </c>
      <c r="C29" s="22">
        <f>[2]Worksheet!D29</f>
        <v>92</v>
      </c>
      <c r="D29" s="45">
        <f>[2]Worksheet!D29</f>
        <v>92</v>
      </c>
      <c r="E29" s="6"/>
      <c r="F29" s="20"/>
      <c r="G29" s="20"/>
      <c r="H29" s="22">
        <f>[2]Worksheet!E29</f>
        <v>95</v>
      </c>
      <c r="I29" s="22">
        <f>[2]Worksheet!E29</f>
        <v>95</v>
      </c>
      <c r="J29" s="4"/>
      <c r="K29" s="4"/>
      <c r="L29" s="4"/>
      <c r="M29" s="18">
        <f>[2]Worksheet!F29</f>
        <v>63</v>
      </c>
      <c r="N29" s="18">
        <f t="shared" si="0"/>
        <v>92</v>
      </c>
      <c r="O29" s="18">
        <f t="shared" si="1"/>
        <v>95</v>
      </c>
      <c r="P29" s="35">
        <f t="shared" si="2"/>
        <v>83.333333333333329</v>
      </c>
      <c r="R29" s="5"/>
    </row>
    <row r="30" spans="1:18">
      <c r="A30" s="4">
        <v>21</v>
      </c>
      <c r="B30" s="29" t="s">
        <v>96</v>
      </c>
      <c r="C30" s="22">
        <f>[2]Worksheet!D30</f>
        <v>96</v>
      </c>
      <c r="D30" s="45">
        <f>[2]Worksheet!D30</f>
        <v>96</v>
      </c>
      <c r="E30" s="6"/>
      <c r="F30" s="20"/>
      <c r="G30" s="20"/>
      <c r="H30" s="22">
        <f>[2]Worksheet!E30</f>
        <v>95</v>
      </c>
      <c r="I30" s="22">
        <f>[2]Worksheet!E30</f>
        <v>95</v>
      </c>
      <c r="J30" s="4"/>
      <c r="K30" s="4"/>
      <c r="L30" s="4"/>
      <c r="M30" s="18">
        <f>[2]Worksheet!F30</f>
        <v>45</v>
      </c>
      <c r="N30" s="18">
        <f t="shared" si="0"/>
        <v>96</v>
      </c>
      <c r="O30" s="18">
        <f t="shared" si="1"/>
        <v>95</v>
      </c>
      <c r="P30" s="35">
        <f t="shared" si="2"/>
        <v>78.666666666666671</v>
      </c>
      <c r="R30" s="5"/>
    </row>
    <row r="31" spans="1:18">
      <c r="A31" s="23">
        <v>22</v>
      </c>
      <c r="B31" s="29" t="s">
        <v>97</v>
      </c>
      <c r="C31" s="24">
        <f>[2]Worksheet!D31</f>
        <v>90</v>
      </c>
      <c r="D31" s="46">
        <f>[2]Worksheet!D31</f>
        <v>90</v>
      </c>
      <c r="E31" s="25"/>
      <c r="F31" s="26"/>
      <c r="G31" s="26"/>
      <c r="H31" s="24">
        <f>[2]Worksheet!E31</f>
        <v>90</v>
      </c>
      <c r="I31" s="24">
        <f>[2]Worksheet!E31</f>
        <v>90</v>
      </c>
      <c r="J31" s="23"/>
      <c r="K31" s="23"/>
      <c r="L31" s="23"/>
      <c r="M31" s="27">
        <f>[2]Worksheet!F31</f>
        <v>85</v>
      </c>
      <c r="N31" s="18">
        <f t="shared" si="0"/>
        <v>90</v>
      </c>
      <c r="O31" s="27">
        <f t="shared" si="1"/>
        <v>90</v>
      </c>
      <c r="P31" s="36">
        <f t="shared" si="2"/>
        <v>88.333333333333329</v>
      </c>
      <c r="R31" s="5"/>
    </row>
    <row r="32" spans="1:18">
      <c r="A32" s="4">
        <v>23</v>
      </c>
      <c r="B32" s="29" t="s">
        <v>98</v>
      </c>
      <c r="C32" s="22">
        <f>[2]Worksheet!D32</f>
        <v>86</v>
      </c>
      <c r="D32" s="47">
        <f>[2]Worksheet!D32</f>
        <v>86</v>
      </c>
      <c r="E32" s="28"/>
      <c r="F32" s="28"/>
      <c r="G32" s="28"/>
      <c r="H32" s="22">
        <f>[2]Worksheet!E32</f>
        <v>86</v>
      </c>
      <c r="I32" s="31">
        <f>[2]Worksheet!E32</f>
        <v>86</v>
      </c>
      <c r="J32" s="28"/>
      <c r="K32" s="28"/>
      <c r="L32" s="28"/>
      <c r="M32" s="31">
        <f>[2]Worksheet!F32</f>
        <v>72</v>
      </c>
      <c r="N32" s="18">
        <f t="shared" si="0"/>
        <v>86</v>
      </c>
      <c r="O32" s="18">
        <f t="shared" si="1"/>
        <v>86</v>
      </c>
      <c r="P32" s="35">
        <f t="shared" si="2"/>
        <v>81.333333333333329</v>
      </c>
      <c r="Q32" s="3"/>
      <c r="R32" s="3"/>
    </row>
    <row r="33" spans="1:16">
      <c r="A33" s="23">
        <v>24</v>
      </c>
      <c r="B33" s="29" t="s">
        <v>99</v>
      </c>
      <c r="C33" s="22">
        <f>[2]Worksheet!D33</f>
        <v>96</v>
      </c>
      <c r="D33" s="48">
        <f>[2]Worksheet!D33</f>
        <v>96</v>
      </c>
      <c r="E33" s="29"/>
      <c r="F33" s="29"/>
      <c r="G33" s="29"/>
      <c r="H33" s="22">
        <f>[2]Worksheet!E33</f>
        <v>94</v>
      </c>
      <c r="I33" s="32">
        <f>[2]Worksheet!E33</f>
        <v>94</v>
      </c>
      <c r="J33" s="29"/>
      <c r="K33" s="29"/>
      <c r="L33" s="29"/>
      <c r="M33" s="32">
        <f>[2]Worksheet!F33</f>
        <v>50</v>
      </c>
      <c r="N33" s="18">
        <f t="shared" si="0"/>
        <v>96</v>
      </c>
      <c r="O33" s="27">
        <f t="shared" si="1"/>
        <v>94</v>
      </c>
      <c r="P33" s="36">
        <f t="shared" si="2"/>
        <v>80</v>
      </c>
    </row>
    <row r="34" spans="1:16">
      <c r="A34" s="4">
        <v>25</v>
      </c>
      <c r="B34" s="29" t="s">
        <v>100</v>
      </c>
      <c r="C34" s="22">
        <f>[2]Worksheet!D34</f>
        <v>93</v>
      </c>
      <c r="D34" s="48">
        <f>[2]Worksheet!D34</f>
        <v>93</v>
      </c>
      <c r="E34" s="29"/>
      <c r="F34" s="29"/>
      <c r="G34" s="29"/>
      <c r="H34" s="22">
        <f>[2]Worksheet!E34</f>
        <v>93</v>
      </c>
      <c r="I34" s="32">
        <f>[2]Worksheet!E34</f>
        <v>93</v>
      </c>
      <c r="J34" s="29"/>
      <c r="K34" s="29"/>
      <c r="L34" s="29"/>
      <c r="M34" s="32">
        <f>[2]Worksheet!F34</f>
        <v>38</v>
      </c>
      <c r="N34" s="18">
        <f t="shared" si="0"/>
        <v>93</v>
      </c>
      <c r="O34" s="18">
        <f t="shared" si="1"/>
        <v>93</v>
      </c>
      <c r="P34" s="35">
        <f t="shared" si="2"/>
        <v>74.666666666666671</v>
      </c>
    </row>
    <row r="35" spans="1:16">
      <c r="A35" s="23">
        <v>26</v>
      </c>
      <c r="B35" s="29" t="s">
        <v>101</v>
      </c>
      <c r="C35" s="22">
        <f>[2]Worksheet!D35</f>
        <v>90</v>
      </c>
      <c r="D35" s="48">
        <f>[2]Worksheet!D35</f>
        <v>90</v>
      </c>
      <c r="E35" s="29"/>
      <c r="F35" s="29"/>
      <c r="G35" s="29"/>
      <c r="H35" s="22">
        <f>[2]Worksheet!E35</f>
        <v>90</v>
      </c>
      <c r="I35" s="32">
        <f>[2]Worksheet!E35</f>
        <v>90</v>
      </c>
      <c r="J35" s="29"/>
      <c r="K35" s="29"/>
      <c r="L35" s="29"/>
      <c r="M35" s="32">
        <f>[2]Worksheet!F35</f>
        <v>84</v>
      </c>
      <c r="N35" s="18">
        <f t="shared" si="0"/>
        <v>90</v>
      </c>
      <c r="O35" s="27">
        <f t="shared" si="1"/>
        <v>90</v>
      </c>
      <c r="P35" s="36">
        <f t="shared" si="2"/>
        <v>88</v>
      </c>
    </row>
    <row r="36" spans="1:16">
      <c r="A36" s="23">
        <v>27</v>
      </c>
      <c r="B36" s="29" t="s">
        <v>102</v>
      </c>
      <c r="C36" s="22">
        <f>[2]Worksheet!D36</f>
        <v>89</v>
      </c>
      <c r="D36" s="48">
        <f>[2]Worksheet!D36</f>
        <v>89</v>
      </c>
      <c r="E36" s="29"/>
      <c r="F36" s="29"/>
      <c r="G36" s="29"/>
      <c r="H36" s="22">
        <f>[2]Worksheet!E36</f>
        <v>95</v>
      </c>
      <c r="I36" s="32">
        <f>[2]Worksheet!E36</f>
        <v>95</v>
      </c>
      <c r="J36" s="29"/>
      <c r="K36" s="29"/>
      <c r="L36" s="29"/>
      <c r="M36" s="32">
        <f>[2]Worksheet!F36</f>
        <v>65</v>
      </c>
      <c r="N36" s="18">
        <f t="shared" si="0"/>
        <v>89</v>
      </c>
      <c r="O36" s="18">
        <f t="shared" si="1"/>
        <v>95</v>
      </c>
      <c r="P36" s="35">
        <f t="shared" si="2"/>
        <v>83</v>
      </c>
    </row>
    <row r="37" spans="1:16">
      <c r="A37" s="23">
        <v>28</v>
      </c>
      <c r="B37" s="29" t="s">
        <v>103</v>
      </c>
      <c r="C37" s="22">
        <f>[2]Worksheet!D37</f>
        <v>90</v>
      </c>
      <c r="D37" s="48">
        <f>[2]Worksheet!D37</f>
        <v>90</v>
      </c>
      <c r="E37" s="29"/>
      <c r="F37" s="29"/>
      <c r="G37" s="29"/>
      <c r="H37" s="22">
        <f>[2]Worksheet!E37</f>
        <v>90</v>
      </c>
      <c r="I37" s="32">
        <f>[2]Worksheet!E37</f>
        <v>90</v>
      </c>
      <c r="J37" s="29"/>
      <c r="K37" s="29"/>
      <c r="L37" s="29"/>
      <c r="M37" s="32">
        <f>[2]Worksheet!F37</f>
        <v>52</v>
      </c>
      <c r="N37" s="18">
        <f t="shared" si="0"/>
        <v>90</v>
      </c>
      <c r="O37" s="27">
        <f t="shared" si="1"/>
        <v>90</v>
      </c>
      <c r="P37" s="36">
        <f t="shared" si="2"/>
        <v>77.333333333333329</v>
      </c>
    </row>
    <row r="38" spans="1:16">
      <c r="A38" s="23">
        <v>29</v>
      </c>
      <c r="B38" s="29" t="s">
        <v>104</v>
      </c>
      <c r="C38" s="22">
        <f>[2]Worksheet!D38</f>
        <v>91</v>
      </c>
      <c r="D38" s="48">
        <f>[2]Worksheet!D38</f>
        <v>91</v>
      </c>
      <c r="E38" s="29"/>
      <c r="F38" s="29"/>
      <c r="G38" s="29"/>
      <c r="H38" s="22">
        <f>[2]Worksheet!E38</f>
        <v>95</v>
      </c>
      <c r="I38" s="32">
        <f>[2]Worksheet!E38</f>
        <v>95</v>
      </c>
      <c r="J38" s="29"/>
      <c r="K38" s="29"/>
      <c r="L38" s="29"/>
      <c r="M38" s="32">
        <f>[2]Worksheet!F38</f>
        <v>77</v>
      </c>
      <c r="N38" s="18">
        <f t="shared" si="0"/>
        <v>91</v>
      </c>
      <c r="O38" s="18">
        <f t="shared" si="1"/>
        <v>95</v>
      </c>
      <c r="P38" s="35">
        <f t="shared" si="2"/>
        <v>87.666666666666671</v>
      </c>
    </row>
    <row r="39" spans="1:16">
      <c r="A39" s="23">
        <v>30</v>
      </c>
      <c r="B39" s="29" t="s">
        <v>105</v>
      </c>
      <c r="C39" s="22">
        <f>[2]Worksheet!D39</f>
        <v>90</v>
      </c>
      <c r="D39" s="48">
        <f>[2]Worksheet!D39</f>
        <v>90</v>
      </c>
      <c r="E39" s="29"/>
      <c r="F39" s="29"/>
      <c r="G39" s="29"/>
      <c r="H39" s="22">
        <f>[2]Worksheet!E39</f>
        <v>90</v>
      </c>
      <c r="I39" s="32">
        <f>[2]Worksheet!E39</f>
        <v>90</v>
      </c>
      <c r="J39" s="29"/>
      <c r="K39" s="29"/>
      <c r="L39" s="29"/>
      <c r="M39" s="32">
        <f>[2]Worksheet!F39</f>
        <v>100</v>
      </c>
      <c r="N39" s="18">
        <f t="shared" si="0"/>
        <v>90</v>
      </c>
      <c r="O39" s="27">
        <f t="shared" si="1"/>
        <v>90</v>
      </c>
      <c r="P39" s="36">
        <f t="shared" si="2"/>
        <v>93.333333333333329</v>
      </c>
    </row>
    <row r="40" spans="1:16">
      <c r="A40" s="4">
        <v>31</v>
      </c>
      <c r="B40" s="29" t="s">
        <v>106</v>
      </c>
      <c r="C40" s="22">
        <f>[2]Worksheet!D40</f>
        <v>92</v>
      </c>
      <c r="D40" s="48">
        <f>[2]Worksheet!D40</f>
        <v>92</v>
      </c>
      <c r="E40" s="29"/>
      <c r="F40" s="29"/>
      <c r="G40" s="29"/>
      <c r="H40" s="22">
        <f>[2]Worksheet!E40</f>
        <v>83</v>
      </c>
      <c r="I40" s="32">
        <f>[2]Worksheet!E40</f>
        <v>83</v>
      </c>
      <c r="J40" s="29"/>
      <c r="K40" s="29"/>
      <c r="L40" s="29"/>
      <c r="M40" s="32">
        <f>[2]Worksheet!F40</f>
        <v>93</v>
      </c>
      <c r="N40" s="18">
        <f t="shared" si="0"/>
        <v>92</v>
      </c>
      <c r="O40" s="18">
        <f t="shared" si="1"/>
        <v>83</v>
      </c>
      <c r="P40" s="35">
        <f t="shared" si="2"/>
        <v>89.333333333333329</v>
      </c>
    </row>
    <row r="41" spans="1:16">
      <c r="A41" s="4">
        <v>32</v>
      </c>
      <c r="B41" s="29" t="s">
        <v>107</v>
      </c>
      <c r="C41" s="22">
        <f>[2]Worksheet!D41</f>
        <v>85</v>
      </c>
      <c r="D41" s="48">
        <f>[2]Worksheet!D41</f>
        <v>85</v>
      </c>
      <c r="E41" s="29"/>
      <c r="F41" s="29"/>
      <c r="G41" s="29"/>
      <c r="H41" s="22">
        <f>[2]Worksheet!E41</f>
        <v>80</v>
      </c>
      <c r="I41" s="32">
        <f>[2]Worksheet!E41</f>
        <v>80</v>
      </c>
      <c r="J41" s="29"/>
      <c r="K41" s="29"/>
      <c r="L41" s="29"/>
      <c r="M41" s="32">
        <f>[2]Worksheet!F41</f>
        <v>93</v>
      </c>
      <c r="N41" s="18">
        <f t="shared" si="0"/>
        <v>85</v>
      </c>
      <c r="O41" s="27">
        <f t="shared" si="1"/>
        <v>80</v>
      </c>
      <c r="P41" s="36">
        <f t="shared" si="2"/>
        <v>86</v>
      </c>
    </row>
    <row r="42" spans="1:16">
      <c r="A42" s="4">
        <v>33</v>
      </c>
      <c r="B42" s="29"/>
      <c r="C42" s="22"/>
      <c r="D42" s="29"/>
      <c r="E42" s="29"/>
      <c r="F42" s="29"/>
      <c r="G42" s="29"/>
      <c r="H42" s="22"/>
      <c r="I42" s="29"/>
      <c r="J42" s="29"/>
      <c r="K42" s="29"/>
      <c r="L42" s="29"/>
      <c r="M42" s="32"/>
      <c r="N42" s="29"/>
      <c r="O42" s="29"/>
      <c r="P42" s="35"/>
    </row>
    <row r="44" spans="1:16">
      <c r="N44" s="2" t="s">
        <v>76</v>
      </c>
    </row>
    <row r="45" spans="1:16">
      <c r="N45" s="2" t="s">
        <v>13</v>
      </c>
    </row>
    <row r="46" spans="1:16">
      <c r="N46" s="2"/>
    </row>
    <row r="47" spans="1:16">
      <c r="N47" s="2"/>
    </row>
    <row r="48" spans="1:16">
      <c r="N4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conditionalFormatting sqref="B10:B41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29A-58B1-4279-B84C-1032ED8A1830}">
  <dimension ref="A1:R49"/>
  <sheetViews>
    <sheetView topLeftCell="A15" zoomScale="60" zoomScaleNormal="60" workbookViewId="0">
      <selection activeCell="B42" sqref="B42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"/>
      <c r="R1" s="3"/>
    </row>
    <row r="2" spans="1:18" ht="17.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80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39" t="s">
        <v>2</v>
      </c>
      <c r="B8" s="40" t="s">
        <v>3</v>
      </c>
      <c r="C8" s="41" t="s">
        <v>25</v>
      </c>
      <c r="D8" s="41"/>
      <c r="E8" s="41"/>
      <c r="F8" s="41"/>
      <c r="G8" s="41"/>
      <c r="H8" s="42" t="s">
        <v>26</v>
      </c>
      <c r="I8" s="42"/>
      <c r="J8" s="42"/>
      <c r="K8" s="42"/>
      <c r="L8" s="42"/>
      <c r="M8" s="14" t="s">
        <v>9</v>
      </c>
      <c r="N8" s="43" t="s">
        <v>23</v>
      </c>
      <c r="O8" s="44"/>
      <c r="P8" s="10" t="s">
        <v>10</v>
      </c>
      <c r="R8" s="1" t="s">
        <v>16</v>
      </c>
    </row>
    <row r="9" spans="1:18">
      <c r="A9" s="39"/>
      <c r="B9" s="40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112</v>
      </c>
      <c r="C10" s="22">
        <f>[1]Worksheet!D10</f>
        <v>70</v>
      </c>
      <c r="D10" s="22">
        <f>[1]Worksheet!E10</f>
        <v>70</v>
      </c>
      <c r="E10" s="12"/>
      <c r="F10" s="19"/>
      <c r="G10" s="19"/>
      <c r="H10" s="22">
        <f>[1]Worksheet!F10</f>
        <v>70</v>
      </c>
      <c r="I10" s="22">
        <f>[1]Worksheet!G10</f>
        <v>70</v>
      </c>
      <c r="J10" s="13"/>
      <c r="K10" s="13"/>
      <c r="L10" s="13"/>
      <c r="M10" s="18">
        <f>[1]Worksheet!H10</f>
        <v>53</v>
      </c>
      <c r="N10" s="18">
        <f>AVERAGE(C10:D10)</f>
        <v>70</v>
      </c>
      <c r="O10" s="18">
        <f>AVERAGE(H10:I10)</f>
        <v>70</v>
      </c>
      <c r="P10" s="35">
        <f>AVERAGE(M10:O10)</f>
        <v>64.333333333333329</v>
      </c>
      <c r="R10" s="2" t="s">
        <v>17</v>
      </c>
    </row>
    <row r="11" spans="1:18">
      <c r="A11" s="4">
        <v>2</v>
      </c>
      <c r="B11" s="29" t="s">
        <v>150</v>
      </c>
      <c r="C11" s="22">
        <f>[1]Worksheet!D11</f>
        <v>80</v>
      </c>
      <c r="D11" s="22">
        <f>[1]Worksheet!E11</f>
        <v>80</v>
      </c>
      <c r="E11" s="6"/>
      <c r="F11" s="20"/>
      <c r="G11" s="20"/>
      <c r="H11" s="22">
        <f>[1]Worksheet!F11</f>
        <v>80</v>
      </c>
      <c r="I11" s="22">
        <f>[1]Worksheet!G11</f>
        <v>80</v>
      </c>
      <c r="J11" s="4"/>
      <c r="K11" s="4"/>
      <c r="L11" s="4"/>
      <c r="M11" s="18">
        <f>[1]Worksheet!H11</f>
        <v>43</v>
      </c>
      <c r="N11" s="18">
        <f t="shared" ref="N11:N42" si="0">AVERAGE(C11:D11)</f>
        <v>80</v>
      </c>
      <c r="O11" s="18">
        <f t="shared" ref="O11:O42" si="1">AVERAGE(H11:I11)</f>
        <v>80</v>
      </c>
      <c r="P11" s="35">
        <f t="shared" ref="P11:P42" si="2">AVERAGE(M11:O11)</f>
        <v>67.666666666666671</v>
      </c>
      <c r="R11" s="2" t="s">
        <v>19</v>
      </c>
    </row>
    <row r="12" spans="1:18">
      <c r="A12" s="4">
        <v>3</v>
      </c>
      <c r="B12" s="29" t="s">
        <v>113</v>
      </c>
      <c r="C12" s="22">
        <f>[1]Worksheet!D12</f>
        <v>80</v>
      </c>
      <c r="D12" s="22">
        <f>[1]Worksheet!E12</f>
        <v>80</v>
      </c>
      <c r="E12" s="6"/>
      <c r="F12" s="20"/>
      <c r="G12" s="20"/>
      <c r="H12" s="22">
        <f>[1]Worksheet!F12</f>
        <v>90</v>
      </c>
      <c r="I12" s="22">
        <f>[1]Worksheet!G12</f>
        <v>90</v>
      </c>
      <c r="J12" s="4"/>
      <c r="K12" s="4"/>
      <c r="L12" s="4"/>
      <c r="M12" s="18">
        <f>[1]Worksheet!H12</f>
        <v>72</v>
      </c>
      <c r="N12" s="18">
        <f t="shared" si="0"/>
        <v>80</v>
      </c>
      <c r="O12" s="18">
        <f t="shared" si="1"/>
        <v>90</v>
      </c>
      <c r="P12" s="35">
        <f t="shared" si="2"/>
        <v>80.666666666666671</v>
      </c>
      <c r="R12" s="2" t="s">
        <v>20</v>
      </c>
    </row>
    <row r="13" spans="1:18">
      <c r="A13" s="4">
        <v>4</v>
      </c>
      <c r="B13" s="29" t="s">
        <v>151</v>
      </c>
      <c r="C13" s="22">
        <f>[1]Worksheet!D13</f>
        <v>95</v>
      </c>
      <c r="D13" s="22">
        <f>[1]Worksheet!E13</f>
        <v>95</v>
      </c>
      <c r="E13" s="6"/>
      <c r="F13" s="20"/>
      <c r="G13" s="20"/>
      <c r="H13" s="22">
        <f>[1]Worksheet!F13</f>
        <v>90</v>
      </c>
      <c r="I13" s="22">
        <f>[1]Worksheet!G13</f>
        <v>90</v>
      </c>
      <c r="J13" s="4"/>
      <c r="K13" s="4"/>
      <c r="L13" s="4"/>
      <c r="M13" s="18">
        <f>[1]Worksheet!H13</f>
        <v>62</v>
      </c>
      <c r="N13" s="18">
        <f t="shared" si="0"/>
        <v>95</v>
      </c>
      <c r="O13" s="18">
        <f t="shared" si="1"/>
        <v>90</v>
      </c>
      <c r="P13" s="35">
        <f t="shared" si="2"/>
        <v>82.333333333333329</v>
      </c>
      <c r="R13" s="2" t="s">
        <v>21</v>
      </c>
    </row>
    <row r="14" spans="1:18">
      <c r="A14" s="4">
        <v>5</v>
      </c>
      <c r="B14" s="29" t="s">
        <v>152</v>
      </c>
      <c r="C14" s="22">
        <f>[1]Worksheet!D14</f>
        <v>70</v>
      </c>
      <c r="D14" s="22">
        <f>[1]Worksheet!E14</f>
        <v>70</v>
      </c>
      <c r="E14" s="6"/>
      <c r="F14" s="20"/>
      <c r="G14" s="20"/>
      <c r="H14" s="22">
        <f>[1]Worksheet!F14</f>
        <v>60</v>
      </c>
      <c r="I14" s="22">
        <f>[1]Worksheet!G14</f>
        <v>60</v>
      </c>
      <c r="J14" s="4"/>
      <c r="K14" s="4"/>
      <c r="L14" s="4"/>
      <c r="M14" s="18">
        <f>[1]Worksheet!H14</f>
        <v>87</v>
      </c>
      <c r="N14" s="18">
        <f t="shared" si="0"/>
        <v>70</v>
      </c>
      <c r="O14" s="18">
        <f t="shared" si="1"/>
        <v>60</v>
      </c>
      <c r="P14" s="35">
        <f t="shared" si="2"/>
        <v>72.333333333333329</v>
      </c>
      <c r="R14" s="2" t="s">
        <v>12</v>
      </c>
    </row>
    <row r="15" spans="1:18">
      <c r="A15" s="4">
        <v>6</v>
      </c>
      <c r="B15" s="29" t="s">
        <v>114</v>
      </c>
      <c r="C15" s="22">
        <f>[1]Worksheet!D15</f>
        <v>85</v>
      </c>
      <c r="D15" s="22">
        <f>[1]Worksheet!E15</f>
        <v>85</v>
      </c>
      <c r="E15" s="18"/>
      <c r="F15" s="18"/>
      <c r="G15" s="20"/>
      <c r="H15" s="22">
        <f>[1]Worksheet!F15</f>
        <v>88</v>
      </c>
      <c r="I15" s="22">
        <f>[1]Worksheet!G15</f>
        <v>88</v>
      </c>
      <c r="J15" s="4"/>
      <c r="K15" s="4"/>
      <c r="L15" s="4"/>
      <c r="M15" s="18">
        <f>[1]Worksheet!H15</f>
        <v>99</v>
      </c>
      <c r="N15" s="18">
        <f t="shared" si="0"/>
        <v>85</v>
      </c>
      <c r="O15" s="18">
        <f t="shared" si="1"/>
        <v>88</v>
      </c>
      <c r="P15" s="35">
        <f t="shared" si="2"/>
        <v>90.666666666666671</v>
      </c>
      <c r="R15" s="5"/>
    </row>
    <row r="16" spans="1:18">
      <c r="A16" s="4">
        <v>7</v>
      </c>
      <c r="B16" s="29" t="s">
        <v>153</v>
      </c>
      <c r="C16" s="22">
        <f>[1]Worksheet!D16</f>
        <v>98</v>
      </c>
      <c r="D16" s="22">
        <f>[1]Worksheet!E16</f>
        <v>98</v>
      </c>
      <c r="E16" s="6"/>
      <c r="F16" s="20"/>
      <c r="G16" s="20"/>
      <c r="H16" s="22">
        <f>[1]Worksheet!F16</f>
        <v>80</v>
      </c>
      <c r="I16" s="22">
        <f>[1]Worksheet!G16</f>
        <v>80</v>
      </c>
      <c r="J16" s="4"/>
      <c r="K16" s="4"/>
      <c r="L16" s="4"/>
      <c r="M16" s="18">
        <f>[1]Worksheet!H16</f>
        <v>45</v>
      </c>
      <c r="N16" s="18">
        <f t="shared" si="0"/>
        <v>98</v>
      </c>
      <c r="O16" s="18">
        <f t="shared" si="1"/>
        <v>80</v>
      </c>
      <c r="P16" s="35">
        <f t="shared" si="2"/>
        <v>74.333333333333329</v>
      </c>
      <c r="R16" s="5"/>
    </row>
    <row r="17" spans="1:18">
      <c r="A17" s="4">
        <v>8</v>
      </c>
      <c r="B17" s="29" t="s">
        <v>115</v>
      </c>
      <c r="C17" s="22">
        <f>[1]Worksheet!D17</f>
        <v>70</v>
      </c>
      <c r="D17" s="22">
        <f>[1]Worksheet!E17</f>
        <v>70</v>
      </c>
      <c r="E17" s="6"/>
      <c r="F17" s="20"/>
      <c r="G17" s="20"/>
      <c r="H17" s="22">
        <f>[1]Worksheet!F17</f>
        <v>63</v>
      </c>
      <c r="I17" s="22">
        <f>[1]Worksheet!G17</f>
        <v>63</v>
      </c>
      <c r="J17" s="4"/>
      <c r="K17" s="4"/>
      <c r="L17" s="4"/>
      <c r="M17" s="18">
        <f>[1]Worksheet!H17</f>
        <v>17</v>
      </c>
      <c r="N17" s="18">
        <f t="shared" si="0"/>
        <v>70</v>
      </c>
      <c r="O17" s="18">
        <f t="shared" si="1"/>
        <v>63</v>
      </c>
      <c r="P17" s="35">
        <f t="shared" si="2"/>
        <v>50</v>
      </c>
      <c r="R17" s="5"/>
    </row>
    <row r="18" spans="1:18">
      <c r="A18" s="4">
        <v>9</v>
      </c>
      <c r="B18" s="29" t="s">
        <v>154</v>
      </c>
      <c r="C18" s="22">
        <f>[1]Worksheet!D18</f>
        <v>95</v>
      </c>
      <c r="D18" s="22">
        <f>[1]Worksheet!E18</f>
        <v>95</v>
      </c>
      <c r="E18" s="6"/>
      <c r="F18" s="20"/>
      <c r="G18" s="20"/>
      <c r="H18" s="22">
        <f>[1]Worksheet!F18</f>
        <v>95</v>
      </c>
      <c r="I18" s="22">
        <f>[1]Worksheet!G18</f>
        <v>95</v>
      </c>
      <c r="J18" s="4"/>
      <c r="K18" s="4"/>
      <c r="L18" s="4"/>
      <c r="M18" s="18">
        <f>[1]Worksheet!H18</f>
        <v>50</v>
      </c>
      <c r="N18" s="18">
        <f t="shared" si="0"/>
        <v>95</v>
      </c>
      <c r="O18" s="18">
        <f t="shared" si="1"/>
        <v>95</v>
      </c>
      <c r="P18" s="35">
        <f t="shared" si="2"/>
        <v>80</v>
      </c>
      <c r="R18" s="5"/>
    </row>
    <row r="19" spans="1:18">
      <c r="A19" s="15">
        <v>10</v>
      </c>
      <c r="B19" s="29" t="s">
        <v>116</v>
      </c>
      <c r="C19" s="22">
        <f>[1]Worksheet!D19</f>
        <v>90</v>
      </c>
      <c r="D19" s="22">
        <f>[1]Worksheet!E19</f>
        <v>90</v>
      </c>
      <c r="E19" s="16"/>
      <c r="F19" s="18"/>
      <c r="G19" s="18"/>
      <c r="H19" s="22">
        <f>[1]Worksheet!F19</f>
        <v>80</v>
      </c>
      <c r="I19" s="22">
        <f>[1]Worksheet!G19</f>
        <v>80</v>
      </c>
      <c r="J19" s="15"/>
      <c r="K19" s="15"/>
      <c r="L19" s="15"/>
      <c r="M19" s="18">
        <f>[1]Worksheet!H19</f>
        <v>90</v>
      </c>
      <c r="N19" s="18">
        <f t="shared" si="0"/>
        <v>90</v>
      </c>
      <c r="O19" s="18">
        <f t="shared" si="1"/>
        <v>80</v>
      </c>
      <c r="P19" s="35">
        <f t="shared" si="2"/>
        <v>86.666666666666671</v>
      </c>
      <c r="R19" s="5"/>
    </row>
    <row r="20" spans="1:18">
      <c r="A20" s="4">
        <v>11</v>
      </c>
      <c r="B20" s="29" t="s">
        <v>117</v>
      </c>
      <c r="C20" s="22">
        <f>[1]Worksheet!D20</f>
        <v>90</v>
      </c>
      <c r="D20" s="22">
        <f>[1]Worksheet!E20</f>
        <v>90</v>
      </c>
      <c r="E20" s="6"/>
      <c r="F20" s="20"/>
      <c r="G20" s="20"/>
      <c r="H20" s="22">
        <f>[1]Worksheet!F20</f>
        <v>80</v>
      </c>
      <c r="I20" s="22">
        <f>[1]Worksheet!G20</f>
        <v>80</v>
      </c>
      <c r="J20" s="4"/>
      <c r="K20" s="4"/>
      <c r="L20" s="4"/>
      <c r="M20" s="18">
        <f>[1]Worksheet!H20</f>
        <v>30</v>
      </c>
      <c r="N20" s="18">
        <f t="shared" si="0"/>
        <v>90</v>
      </c>
      <c r="O20" s="18">
        <f t="shared" si="1"/>
        <v>80</v>
      </c>
      <c r="P20" s="35">
        <f t="shared" si="2"/>
        <v>66.666666666666671</v>
      </c>
      <c r="R20" s="5"/>
    </row>
    <row r="21" spans="1:18">
      <c r="A21" s="4">
        <v>12</v>
      </c>
      <c r="B21" s="29" t="s">
        <v>155</v>
      </c>
      <c r="C21" s="22">
        <f>[1]Worksheet!D21</f>
        <v>86</v>
      </c>
      <c r="D21" s="22">
        <f>[1]Worksheet!E21</f>
        <v>86</v>
      </c>
      <c r="E21" s="6"/>
      <c r="F21" s="20"/>
      <c r="G21" s="20"/>
      <c r="H21" s="22">
        <f>[1]Worksheet!F21</f>
        <v>91</v>
      </c>
      <c r="I21" s="22">
        <f>[1]Worksheet!G21</f>
        <v>91</v>
      </c>
      <c r="J21" s="4"/>
      <c r="K21" s="4"/>
      <c r="L21" s="4"/>
      <c r="M21" s="18">
        <f>[1]Worksheet!H21</f>
        <v>36</v>
      </c>
      <c r="N21" s="18">
        <f t="shared" si="0"/>
        <v>86</v>
      </c>
      <c r="O21" s="18">
        <f t="shared" si="1"/>
        <v>91</v>
      </c>
      <c r="P21" s="35">
        <f t="shared" si="2"/>
        <v>71</v>
      </c>
      <c r="R21" s="5"/>
    </row>
    <row r="22" spans="1:18">
      <c r="A22" s="4">
        <v>13</v>
      </c>
      <c r="B22" s="29" t="s">
        <v>156</v>
      </c>
      <c r="C22" s="22">
        <f>[1]Worksheet!D22</f>
        <v>96</v>
      </c>
      <c r="D22" s="22">
        <f>[1]Worksheet!E22</f>
        <v>96</v>
      </c>
      <c r="E22" s="6"/>
      <c r="F22" s="20"/>
      <c r="G22" s="20"/>
      <c r="H22" s="22">
        <f>[1]Worksheet!F22</f>
        <v>98</v>
      </c>
      <c r="I22" s="22">
        <f>[1]Worksheet!G22</f>
        <v>98</v>
      </c>
      <c r="J22" s="4"/>
      <c r="K22" s="4"/>
      <c r="L22" s="4"/>
      <c r="M22" s="18">
        <f>[1]Worksheet!H22</f>
        <v>71</v>
      </c>
      <c r="N22" s="18">
        <f t="shared" si="0"/>
        <v>96</v>
      </c>
      <c r="O22" s="18">
        <f t="shared" si="1"/>
        <v>98</v>
      </c>
      <c r="P22" s="35">
        <f t="shared" si="2"/>
        <v>88.333333333333329</v>
      </c>
      <c r="R22" s="5"/>
    </row>
    <row r="23" spans="1:18">
      <c r="A23" s="4">
        <v>14</v>
      </c>
      <c r="B23" s="29" t="s">
        <v>157</v>
      </c>
      <c r="C23" s="22">
        <f>[1]Worksheet!D23</f>
        <v>80</v>
      </c>
      <c r="D23" s="22">
        <f>[1]Worksheet!E23</f>
        <v>80</v>
      </c>
      <c r="E23" s="6"/>
      <c r="F23" s="20"/>
      <c r="G23" s="20"/>
      <c r="H23" s="22">
        <f>[1]Worksheet!F23</f>
        <v>88</v>
      </c>
      <c r="I23" s="22">
        <f>[1]Worksheet!G23</f>
        <v>88</v>
      </c>
      <c r="J23" s="4"/>
      <c r="K23" s="4"/>
      <c r="L23" s="4"/>
      <c r="M23" s="18">
        <f>[1]Worksheet!H23</f>
        <v>54</v>
      </c>
      <c r="N23" s="18">
        <f t="shared" si="0"/>
        <v>80</v>
      </c>
      <c r="O23" s="18">
        <f t="shared" si="1"/>
        <v>88</v>
      </c>
      <c r="P23" s="35">
        <f t="shared" si="2"/>
        <v>74</v>
      </c>
      <c r="R23" s="5"/>
    </row>
    <row r="24" spans="1:18">
      <c r="A24" s="4">
        <v>15</v>
      </c>
      <c r="B24" s="29" t="s">
        <v>125</v>
      </c>
      <c r="C24" s="22">
        <f>[1]Worksheet!D24</f>
        <v>97</v>
      </c>
      <c r="D24" s="22">
        <f>[1]Worksheet!E24</f>
        <v>97</v>
      </c>
      <c r="E24" s="6"/>
      <c r="F24" s="20"/>
      <c r="G24" s="20"/>
      <c r="H24" s="22">
        <f>[1]Worksheet!F24</f>
        <v>92</v>
      </c>
      <c r="I24" s="22">
        <f>[1]Worksheet!G24</f>
        <v>92</v>
      </c>
      <c r="J24" s="4"/>
      <c r="K24" s="4"/>
      <c r="L24" s="4"/>
      <c r="M24" s="18">
        <f>[1]Worksheet!H24</f>
        <v>18</v>
      </c>
      <c r="N24" s="18">
        <f t="shared" si="0"/>
        <v>97</v>
      </c>
      <c r="O24" s="18">
        <f t="shared" si="1"/>
        <v>92</v>
      </c>
      <c r="P24" s="35">
        <f t="shared" si="2"/>
        <v>69</v>
      </c>
      <c r="R24" s="5"/>
    </row>
    <row r="25" spans="1:18">
      <c r="A25" s="4">
        <v>16</v>
      </c>
      <c r="B25" s="30" t="s">
        <v>158</v>
      </c>
      <c r="C25" s="33">
        <f>[1]Worksheet!D25</f>
        <v>0</v>
      </c>
      <c r="D25" s="33">
        <f>[1]Worksheet!E25</f>
        <v>0</v>
      </c>
      <c r="E25" s="12"/>
      <c r="F25" s="19"/>
      <c r="G25" s="19"/>
      <c r="H25" s="33">
        <f>[1]Worksheet!F25</f>
        <v>0</v>
      </c>
      <c r="I25" s="33">
        <f>[1]Worksheet!G25</f>
        <v>0</v>
      </c>
      <c r="J25" s="13"/>
      <c r="K25" s="13"/>
      <c r="L25" s="13"/>
      <c r="M25" s="34">
        <f>[1]Worksheet!H25</f>
        <v>0</v>
      </c>
      <c r="N25" s="34">
        <f t="shared" si="0"/>
        <v>0</v>
      </c>
      <c r="O25" s="34">
        <f t="shared" si="1"/>
        <v>0</v>
      </c>
      <c r="P25" s="37">
        <f t="shared" si="2"/>
        <v>0</v>
      </c>
      <c r="R25" s="5"/>
    </row>
    <row r="26" spans="1:18">
      <c r="A26" s="4">
        <v>17</v>
      </c>
      <c r="B26" s="29" t="s">
        <v>118</v>
      </c>
      <c r="C26" s="22">
        <f>[1]Worksheet!D26</f>
        <v>80</v>
      </c>
      <c r="D26" s="22">
        <f>[1]Worksheet!E26</f>
        <v>80</v>
      </c>
      <c r="E26" s="6"/>
      <c r="F26" s="20"/>
      <c r="G26" s="20"/>
      <c r="H26" s="22">
        <f>[1]Worksheet!F26</f>
        <v>80</v>
      </c>
      <c r="I26" s="22">
        <f>[1]Worksheet!G26</f>
        <v>80</v>
      </c>
      <c r="J26" s="4"/>
      <c r="K26" s="4"/>
      <c r="L26" s="4"/>
      <c r="M26" s="18">
        <f>[1]Worksheet!H26</f>
        <v>36</v>
      </c>
      <c r="N26" s="18">
        <f t="shared" si="0"/>
        <v>80</v>
      </c>
      <c r="O26" s="18">
        <f t="shared" si="1"/>
        <v>80</v>
      </c>
      <c r="P26" s="35">
        <f t="shared" si="2"/>
        <v>65.333333333333329</v>
      </c>
      <c r="R26" s="5"/>
    </row>
    <row r="27" spans="1:18">
      <c r="A27" s="4">
        <v>18</v>
      </c>
      <c r="B27" s="29" t="s">
        <v>159</v>
      </c>
      <c r="C27" s="22">
        <f>[1]Worksheet!D27</f>
        <v>80</v>
      </c>
      <c r="D27" s="22">
        <f>[1]Worksheet!E27</f>
        <v>80</v>
      </c>
      <c r="E27" s="6"/>
      <c r="F27" s="20"/>
      <c r="G27" s="20"/>
      <c r="H27" s="22">
        <f>[1]Worksheet!F27</f>
        <v>75</v>
      </c>
      <c r="I27" s="22">
        <f>[1]Worksheet!G27</f>
        <v>75</v>
      </c>
      <c r="J27" s="4"/>
      <c r="K27" s="4"/>
      <c r="L27" s="4"/>
      <c r="M27" s="18">
        <f>[1]Worksheet!H27</f>
        <v>76</v>
      </c>
      <c r="N27" s="18">
        <f t="shared" si="0"/>
        <v>80</v>
      </c>
      <c r="O27" s="18">
        <f t="shared" si="1"/>
        <v>75</v>
      </c>
      <c r="P27" s="35">
        <f t="shared" si="2"/>
        <v>77</v>
      </c>
      <c r="R27" s="5"/>
    </row>
    <row r="28" spans="1:18">
      <c r="A28" s="4">
        <v>19</v>
      </c>
      <c r="B28" s="29" t="s">
        <v>119</v>
      </c>
      <c r="C28" s="22">
        <f>[1]Worksheet!D28</f>
        <v>75</v>
      </c>
      <c r="D28" s="22">
        <f>[1]Worksheet!E28</f>
        <v>75</v>
      </c>
      <c r="E28" s="6"/>
      <c r="F28" s="20"/>
      <c r="G28" s="20"/>
      <c r="H28" s="22">
        <f>[1]Worksheet!F28</f>
        <v>70</v>
      </c>
      <c r="I28" s="22">
        <f>[1]Worksheet!G28</f>
        <v>70</v>
      </c>
      <c r="J28" s="4"/>
      <c r="K28" s="4"/>
      <c r="L28" s="4"/>
      <c r="M28" s="18">
        <f>[1]Worksheet!H28</f>
        <v>48</v>
      </c>
      <c r="N28" s="18">
        <f t="shared" si="0"/>
        <v>75</v>
      </c>
      <c r="O28" s="18">
        <f t="shared" si="1"/>
        <v>70</v>
      </c>
      <c r="P28" s="35">
        <f t="shared" si="2"/>
        <v>64.333333333333329</v>
      </c>
      <c r="R28" s="5"/>
    </row>
    <row r="29" spans="1:18">
      <c r="A29" s="4">
        <v>20</v>
      </c>
      <c r="B29" s="29" t="s">
        <v>160</v>
      </c>
      <c r="C29" s="22">
        <f>[1]Worksheet!D29</f>
        <v>92</v>
      </c>
      <c r="D29" s="22">
        <f>[1]Worksheet!E29</f>
        <v>92</v>
      </c>
      <c r="E29" s="6"/>
      <c r="F29" s="20"/>
      <c r="G29" s="20"/>
      <c r="H29" s="22">
        <f>[1]Worksheet!F29</f>
        <v>89</v>
      </c>
      <c r="I29" s="22">
        <f>[1]Worksheet!G29</f>
        <v>89</v>
      </c>
      <c r="J29" s="4"/>
      <c r="K29" s="4"/>
      <c r="L29" s="4"/>
      <c r="M29" s="18">
        <f>[1]Worksheet!H29</f>
        <v>31</v>
      </c>
      <c r="N29" s="18">
        <f t="shared" si="0"/>
        <v>92</v>
      </c>
      <c r="O29" s="18">
        <f t="shared" si="1"/>
        <v>89</v>
      </c>
      <c r="P29" s="35">
        <f t="shared" si="2"/>
        <v>70.666666666666671</v>
      </c>
      <c r="R29" s="5"/>
    </row>
    <row r="30" spans="1:18">
      <c r="A30" s="4">
        <v>21</v>
      </c>
      <c r="B30" s="29" t="s">
        <v>161</v>
      </c>
      <c r="C30" s="22">
        <f>[1]Worksheet!D30</f>
        <v>85</v>
      </c>
      <c r="D30" s="22">
        <f>[1]Worksheet!E30</f>
        <v>85</v>
      </c>
      <c r="E30" s="6"/>
      <c r="F30" s="20"/>
      <c r="G30" s="20"/>
      <c r="H30" s="22">
        <f>[1]Worksheet!F30</f>
        <v>95</v>
      </c>
      <c r="I30" s="22">
        <f>[1]Worksheet!G30</f>
        <v>95</v>
      </c>
      <c r="J30" s="4"/>
      <c r="K30" s="4"/>
      <c r="L30" s="4"/>
      <c r="M30" s="18">
        <f>[1]Worksheet!H30</f>
        <v>23</v>
      </c>
      <c r="N30" s="18">
        <f t="shared" si="0"/>
        <v>85</v>
      </c>
      <c r="O30" s="18">
        <f t="shared" si="1"/>
        <v>95</v>
      </c>
      <c r="P30" s="35">
        <f t="shared" si="2"/>
        <v>67.666666666666671</v>
      </c>
      <c r="R30" s="5"/>
    </row>
    <row r="31" spans="1:18">
      <c r="A31" s="4">
        <v>22</v>
      </c>
      <c r="B31" s="29" t="s">
        <v>162</v>
      </c>
      <c r="C31" s="22">
        <f>[1]Worksheet!D31</f>
        <v>90</v>
      </c>
      <c r="D31" s="22">
        <f>[1]Worksheet!E31</f>
        <v>90</v>
      </c>
      <c r="E31" s="6"/>
      <c r="F31" s="20"/>
      <c r="G31" s="20"/>
      <c r="H31" s="22">
        <f>[1]Worksheet!F31</f>
        <v>90</v>
      </c>
      <c r="I31" s="22">
        <f>[1]Worksheet!G31</f>
        <v>90</v>
      </c>
      <c r="J31" s="4"/>
      <c r="K31" s="4"/>
      <c r="L31" s="4"/>
      <c r="M31" s="18">
        <f>[1]Worksheet!H31</f>
        <v>100</v>
      </c>
      <c r="N31" s="18">
        <f t="shared" si="0"/>
        <v>90</v>
      </c>
      <c r="O31" s="18">
        <f t="shared" si="1"/>
        <v>90</v>
      </c>
      <c r="P31" s="35">
        <f t="shared" si="2"/>
        <v>93.333333333333329</v>
      </c>
      <c r="R31" s="5"/>
    </row>
    <row r="32" spans="1:18">
      <c r="A32" s="4">
        <v>23</v>
      </c>
      <c r="B32" s="29" t="s">
        <v>120</v>
      </c>
      <c r="C32" s="22">
        <f>[1]Worksheet!D32</f>
        <v>80</v>
      </c>
      <c r="D32" s="22">
        <f>[1]Worksheet!E32</f>
        <v>80</v>
      </c>
      <c r="E32" s="6"/>
      <c r="F32" s="20"/>
      <c r="G32" s="20"/>
      <c r="H32" s="22">
        <f>[1]Worksheet!F32</f>
        <v>95</v>
      </c>
      <c r="I32" s="22">
        <f>[1]Worksheet!G32</f>
        <v>95</v>
      </c>
      <c r="J32" s="4"/>
      <c r="K32" s="4"/>
      <c r="L32" s="4"/>
      <c r="M32" s="18">
        <f>[1]Worksheet!H32</f>
        <v>40</v>
      </c>
      <c r="N32" s="18">
        <f t="shared" si="0"/>
        <v>80</v>
      </c>
      <c r="O32" s="18">
        <f t="shared" si="1"/>
        <v>95</v>
      </c>
      <c r="P32" s="35">
        <f t="shared" si="2"/>
        <v>71.666666666666671</v>
      </c>
      <c r="R32" s="5"/>
    </row>
    <row r="33" spans="1:18">
      <c r="A33" s="4">
        <v>24</v>
      </c>
      <c r="B33" s="29" t="s">
        <v>126</v>
      </c>
      <c r="C33" s="22">
        <f>[1]Worksheet!D33</f>
        <v>86</v>
      </c>
      <c r="D33" s="22">
        <f>[1]Worksheet!E33</f>
        <v>86</v>
      </c>
      <c r="E33" s="6"/>
      <c r="F33" s="20"/>
      <c r="G33" s="20"/>
      <c r="H33" s="22">
        <f>[1]Worksheet!F33</f>
        <v>83</v>
      </c>
      <c r="I33" s="22">
        <f>[1]Worksheet!G33</f>
        <v>83</v>
      </c>
      <c r="J33" s="4"/>
      <c r="K33" s="4"/>
      <c r="L33" s="4"/>
      <c r="M33" s="18">
        <f>[1]Worksheet!H33</f>
        <v>98</v>
      </c>
      <c r="N33" s="18">
        <f t="shared" si="0"/>
        <v>86</v>
      </c>
      <c r="O33" s="18">
        <f t="shared" si="1"/>
        <v>83</v>
      </c>
      <c r="P33" s="35">
        <f t="shared" si="2"/>
        <v>89</v>
      </c>
      <c r="R33" s="5"/>
    </row>
    <row r="34" spans="1:18">
      <c r="A34" s="4">
        <v>25</v>
      </c>
      <c r="B34" s="29" t="s">
        <v>163</v>
      </c>
      <c r="C34" s="22">
        <f>[1]Worksheet!D34</f>
        <v>80</v>
      </c>
      <c r="D34" s="22">
        <f>[1]Worksheet!E34</f>
        <v>80</v>
      </c>
      <c r="E34" s="6"/>
      <c r="F34" s="20"/>
      <c r="G34" s="20"/>
      <c r="H34" s="22">
        <f>[1]Worksheet!F34</f>
        <v>80</v>
      </c>
      <c r="I34" s="22">
        <f>[1]Worksheet!G34</f>
        <v>80</v>
      </c>
      <c r="J34" s="4"/>
      <c r="K34" s="4"/>
      <c r="L34" s="4"/>
      <c r="M34" s="18">
        <f>[1]Worksheet!H34</f>
        <v>50</v>
      </c>
      <c r="N34" s="18">
        <f t="shared" si="0"/>
        <v>80</v>
      </c>
      <c r="O34" s="18">
        <f t="shared" si="1"/>
        <v>80</v>
      </c>
      <c r="P34" s="35">
        <f t="shared" si="2"/>
        <v>70</v>
      </c>
      <c r="R34" s="5"/>
    </row>
    <row r="35" spans="1:18">
      <c r="A35" s="4">
        <v>26</v>
      </c>
      <c r="B35" s="29" t="s">
        <v>121</v>
      </c>
      <c r="C35" s="22">
        <f>[1]Worksheet!D35</f>
        <v>80</v>
      </c>
      <c r="D35" s="22">
        <f>[1]Worksheet!E35</f>
        <v>80</v>
      </c>
      <c r="E35" s="6"/>
      <c r="F35" s="20"/>
      <c r="G35" s="20"/>
      <c r="H35" s="22">
        <f>[1]Worksheet!F35</f>
        <v>60</v>
      </c>
      <c r="I35" s="22">
        <f>[1]Worksheet!G35</f>
        <v>60</v>
      </c>
      <c r="J35" s="4"/>
      <c r="K35" s="4"/>
      <c r="L35" s="4"/>
      <c r="M35" s="18">
        <f>[1]Worksheet!H35</f>
        <v>59</v>
      </c>
      <c r="N35" s="18">
        <f t="shared" si="0"/>
        <v>80</v>
      </c>
      <c r="O35" s="18">
        <f t="shared" si="1"/>
        <v>60</v>
      </c>
      <c r="P35" s="35">
        <f t="shared" si="2"/>
        <v>66.333333333333329</v>
      </c>
      <c r="R35" s="5"/>
    </row>
    <row r="36" spans="1:18">
      <c r="A36" s="4">
        <v>27</v>
      </c>
      <c r="B36" s="29" t="s">
        <v>164</v>
      </c>
      <c r="C36" s="22">
        <f>[1]Worksheet!D36</f>
        <v>95</v>
      </c>
      <c r="D36" s="22">
        <f>[1]Worksheet!E36</f>
        <v>95</v>
      </c>
      <c r="E36" s="6"/>
      <c r="F36" s="20"/>
      <c r="G36" s="20"/>
      <c r="H36" s="22">
        <f>[1]Worksheet!F36</f>
        <v>90</v>
      </c>
      <c r="I36" s="22">
        <f>[1]Worksheet!G36</f>
        <v>90</v>
      </c>
      <c r="J36" s="4"/>
      <c r="K36" s="4"/>
      <c r="L36" s="4"/>
      <c r="M36" s="18">
        <f>[1]Worksheet!H36</f>
        <v>77</v>
      </c>
      <c r="N36" s="18">
        <f t="shared" si="0"/>
        <v>95</v>
      </c>
      <c r="O36" s="18">
        <f t="shared" si="1"/>
        <v>90</v>
      </c>
      <c r="P36" s="35">
        <f t="shared" si="2"/>
        <v>87.333333333333329</v>
      </c>
      <c r="R36" s="5"/>
    </row>
    <row r="37" spans="1:18">
      <c r="A37" s="4">
        <v>28</v>
      </c>
      <c r="B37" s="30" t="s">
        <v>165</v>
      </c>
      <c r="C37" s="33">
        <f>[1]Worksheet!D37</f>
        <v>0</v>
      </c>
      <c r="D37" s="33">
        <f>[1]Worksheet!E37</f>
        <v>0</v>
      </c>
      <c r="E37" s="12"/>
      <c r="F37" s="19"/>
      <c r="G37" s="19"/>
      <c r="H37" s="33">
        <f>[1]Worksheet!F37</f>
        <v>0</v>
      </c>
      <c r="I37" s="33">
        <f>[1]Worksheet!G37</f>
        <v>0</v>
      </c>
      <c r="J37" s="13"/>
      <c r="K37" s="13"/>
      <c r="L37" s="13"/>
      <c r="M37" s="34">
        <f>[1]Worksheet!H37</f>
        <v>0</v>
      </c>
      <c r="N37" s="34">
        <f t="shared" si="0"/>
        <v>0</v>
      </c>
      <c r="O37" s="34">
        <f t="shared" si="1"/>
        <v>0</v>
      </c>
      <c r="P37" s="37">
        <f t="shared" si="2"/>
        <v>0</v>
      </c>
      <c r="R37" s="5"/>
    </row>
    <row r="38" spans="1:18">
      <c r="A38" s="4">
        <v>29</v>
      </c>
      <c r="B38" s="29" t="s">
        <v>166</v>
      </c>
      <c r="C38" s="22">
        <f>[1]Worksheet!D38</f>
        <v>87</v>
      </c>
      <c r="D38" s="22">
        <f>[1]Worksheet!E38</f>
        <v>87</v>
      </c>
      <c r="E38" s="6"/>
      <c r="F38" s="20"/>
      <c r="G38" s="20"/>
      <c r="H38" s="22">
        <f>[1]Worksheet!F38</f>
        <v>87</v>
      </c>
      <c r="I38" s="22">
        <f>[1]Worksheet!G38</f>
        <v>87</v>
      </c>
      <c r="J38" s="4"/>
      <c r="K38" s="4"/>
      <c r="L38" s="4"/>
      <c r="M38" s="18">
        <f>[1]Worksheet!H38</f>
        <v>65</v>
      </c>
      <c r="N38" s="18">
        <f t="shared" si="0"/>
        <v>87</v>
      </c>
      <c r="O38" s="18">
        <f t="shared" si="1"/>
        <v>87</v>
      </c>
      <c r="P38" s="35">
        <f t="shared" si="2"/>
        <v>79.666666666666671</v>
      </c>
      <c r="R38" s="5"/>
    </row>
    <row r="39" spans="1:18">
      <c r="A39" s="4">
        <v>30</v>
      </c>
      <c r="B39" s="29" t="s">
        <v>167</v>
      </c>
      <c r="C39" s="22">
        <f>[1]Worksheet!D39</f>
        <v>92</v>
      </c>
      <c r="D39" s="22">
        <f>[1]Worksheet!E39</f>
        <v>92</v>
      </c>
      <c r="E39" s="6"/>
      <c r="F39" s="20"/>
      <c r="G39" s="20"/>
      <c r="H39" s="22">
        <f>[1]Worksheet!F39</f>
        <v>92</v>
      </c>
      <c r="I39" s="22">
        <f>[1]Worksheet!G39</f>
        <v>92</v>
      </c>
      <c r="J39" s="4"/>
      <c r="K39" s="4"/>
      <c r="L39" s="4"/>
      <c r="M39" s="18">
        <f>[1]Worksheet!H39</f>
        <v>32</v>
      </c>
      <c r="N39" s="18">
        <f t="shared" si="0"/>
        <v>92</v>
      </c>
      <c r="O39" s="18">
        <f t="shared" si="1"/>
        <v>92</v>
      </c>
      <c r="P39" s="35">
        <f t="shared" si="2"/>
        <v>72</v>
      </c>
      <c r="R39" s="5"/>
    </row>
    <row r="40" spans="1:18">
      <c r="A40" s="4">
        <v>31</v>
      </c>
      <c r="B40" s="29" t="s">
        <v>122</v>
      </c>
      <c r="C40" s="22">
        <f>[1]Worksheet!D40</f>
        <v>90</v>
      </c>
      <c r="D40" s="22">
        <f>[1]Worksheet!E40</f>
        <v>90</v>
      </c>
      <c r="E40" s="6"/>
      <c r="F40" s="20"/>
      <c r="G40" s="20"/>
      <c r="H40" s="22">
        <f>[1]Worksheet!F40</f>
        <v>90</v>
      </c>
      <c r="I40" s="22">
        <f>[1]Worksheet!G40</f>
        <v>90</v>
      </c>
      <c r="J40" s="4"/>
      <c r="K40" s="4"/>
      <c r="L40" s="4"/>
      <c r="M40" s="18">
        <f>[1]Worksheet!H40</f>
        <v>91</v>
      </c>
      <c r="N40" s="18">
        <f t="shared" si="0"/>
        <v>90</v>
      </c>
      <c r="O40" s="18">
        <f t="shared" si="1"/>
        <v>90</v>
      </c>
      <c r="P40" s="35">
        <f t="shared" si="2"/>
        <v>90.333333333333329</v>
      </c>
      <c r="R40" s="5"/>
    </row>
    <row r="41" spans="1:18">
      <c r="A41" s="4">
        <v>32</v>
      </c>
      <c r="B41" s="29" t="s">
        <v>123</v>
      </c>
      <c r="C41" s="22">
        <f>[1]Worksheet!D41</f>
        <v>83</v>
      </c>
      <c r="D41" s="22">
        <f>[1]Worksheet!E41</f>
        <v>83</v>
      </c>
      <c r="E41" s="6"/>
      <c r="F41" s="20"/>
      <c r="G41" s="20"/>
      <c r="H41" s="22">
        <f>[1]Worksheet!F41</f>
        <v>85</v>
      </c>
      <c r="I41" s="22">
        <f>[1]Worksheet!G41</f>
        <v>85</v>
      </c>
      <c r="J41" s="4"/>
      <c r="K41" s="4"/>
      <c r="L41" s="4"/>
      <c r="M41" s="18">
        <f>[1]Worksheet!H41</f>
        <v>72</v>
      </c>
      <c r="N41" s="18">
        <f t="shared" si="0"/>
        <v>83</v>
      </c>
      <c r="O41" s="18">
        <f t="shared" si="1"/>
        <v>85</v>
      </c>
      <c r="P41" s="35">
        <f t="shared" si="2"/>
        <v>80</v>
      </c>
      <c r="R41" s="5"/>
    </row>
    <row r="42" spans="1:18">
      <c r="A42" s="4">
        <v>33</v>
      </c>
      <c r="B42" s="29" t="s">
        <v>124</v>
      </c>
      <c r="C42" s="22">
        <f>[1]Worksheet!D42</f>
        <v>75</v>
      </c>
      <c r="D42" s="22">
        <f>[1]Worksheet!E42</f>
        <v>75</v>
      </c>
      <c r="E42" s="6"/>
      <c r="F42" s="20"/>
      <c r="G42" s="20"/>
      <c r="H42" s="22">
        <f>[1]Worksheet!F42</f>
        <v>75</v>
      </c>
      <c r="I42" s="22">
        <f>[1]Worksheet!G42</f>
        <v>75</v>
      </c>
      <c r="J42" s="4"/>
      <c r="K42" s="4"/>
      <c r="L42" s="4"/>
      <c r="M42" s="18">
        <f>[1]Worksheet!H42</f>
        <v>55</v>
      </c>
      <c r="N42" s="18">
        <f t="shared" si="0"/>
        <v>75</v>
      </c>
      <c r="O42" s="18">
        <f t="shared" si="1"/>
        <v>75</v>
      </c>
      <c r="P42" s="35">
        <f t="shared" si="2"/>
        <v>68.333333333333329</v>
      </c>
      <c r="R42" s="5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1"/>
      <c r="O43" s="3"/>
      <c r="P43" s="3"/>
      <c r="Q43" s="3"/>
      <c r="R43" s="3"/>
    </row>
    <row r="45" spans="1:18">
      <c r="N45" s="2" t="s">
        <v>76</v>
      </c>
    </row>
    <row r="46" spans="1:18">
      <c r="N46" s="2" t="s">
        <v>13</v>
      </c>
    </row>
    <row r="47" spans="1:18">
      <c r="N47" s="2"/>
    </row>
    <row r="48" spans="1:18">
      <c r="N48" s="2"/>
    </row>
    <row r="49" spans="14:14">
      <c r="N49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conditionalFormatting sqref="B10:B4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Desekripsi LM</vt:lpstr>
      <vt:lpstr>8 INTAN</vt:lpstr>
      <vt:lpstr>8 KYANITE</vt:lpstr>
      <vt:lpstr>8 SAFIR</vt:lpstr>
      <vt:lpstr>8 GRANIT</vt:lpstr>
      <vt:lpstr>8 TOPAZ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Luthfia Chairunnisa</dc:creator>
  <cp:lastModifiedBy>Eli Saprida</cp:lastModifiedBy>
  <dcterms:created xsi:type="dcterms:W3CDTF">2022-12-13T01:59:23Z</dcterms:created>
  <dcterms:modified xsi:type="dcterms:W3CDTF">2026-10-27T07:37:54Z</dcterms:modified>
</cp:coreProperties>
</file>