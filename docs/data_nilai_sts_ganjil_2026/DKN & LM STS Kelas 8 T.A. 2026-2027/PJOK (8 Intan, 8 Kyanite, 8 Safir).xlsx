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8FFEC0B-94F7-40CD-992B-E3DC8350F41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tan" sheetId="1" r:id="rId1"/>
    <sheet name="Kyanite" sheetId="2" r:id="rId2"/>
    <sheet name="Safi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4" i="3" l="1"/>
  <c r="P44" i="3" s="1"/>
  <c r="O43" i="3"/>
  <c r="P43" i="3" s="1"/>
  <c r="O42" i="3"/>
  <c r="P42" i="3" s="1"/>
  <c r="O41" i="3"/>
  <c r="P41" i="3" s="1"/>
  <c r="O40" i="3"/>
  <c r="N40" i="3"/>
  <c r="P40" i="3" s="1"/>
  <c r="P39" i="3"/>
  <c r="O39" i="3"/>
  <c r="N39" i="3"/>
  <c r="O38" i="3"/>
  <c r="N38" i="3"/>
  <c r="P38" i="3" s="1"/>
  <c r="O37" i="3"/>
  <c r="N37" i="3"/>
  <c r="P37" i="3" s="1"/>
  <c r="O36" i="3"/>
  <c r="N36" i="3"/>
  <c r="P36" i="3" s="1"/>
  <c r="P35" i="3"/>
  <c r="O35" i="3"/>
  <c r="N35" i="3"/>
  <c r="O34" i="3"/>
  <c r="N34" i="3"/>
  <c r="P34" i="3" s="1"/>
  <c r="O33" i="3"/>
  <c r="N33" i="3"/>
  <c r="P33" i="3" s="1"/>
  <c r="O32" i="3"/>
  <c r="N32" i="3"/>
  <c r="P32" i="3" s="1"/>
  <c r="P31" i="3"/>
  <c r="O31" i="3"/>
  <c r="N31" i="3"/>
  <c r="O30" i="3"/>
  <c r="N30" i="3"/>
  <c r="P30" i="3" s="1"/>
  <c r="O29" i="3"/>
  <c r="N29" i="3"/>
  <c r="P29" i="3" s="1"/>
  <c r="O28" i="3"/>
  <c r="N28" i="3"/>
  <c r="P28" i="3" s="1"/>
  <c r="P27" i="3"/>
  <c r="O27" i="3"/>
  <c r="N27" i="3"/>
  <c r="O26" i="3"/>
  <c r="N26" i="3"/>
  <c r="P26" i="3" s="1"/>
  <c r="O25" i="3"/>
  <c r="N25" i="3"/>
  <c r="P25" i="3" s="1"/>
  <c r="O24" i="3"/>
  <c r="N24" i="3"/>
  <c r="P24" i="3" s="1"/>
  <c r="P23" i="3"/>
  <c r="O23" i="3"/>
  <c r="N23" i="3"/>
  <c r="O22" i="3"/>
  <c r="N22" i="3"/>
  <c r="P22" i="3" s="1"/>
  <c r="O21" i="3"/>
  <c r="N21" i="3"/>
  <c r="P21" i="3" s="1"/>
  <c r="O20" i="3"/>
  <c r="N20" i="3"/>
  <c r="P20" i="3" s="1"/>
  <c r="P19" i="3"/>
  <c r="O19" i="3"/>
  <c r="N19" i="3"/>
  <c r="O18" i="3"/>
  <c r="P18" i="3" s="1"/>
  <c r="N18" i="3"/>
  <c r="O17" i="3"/>
  <c r="N17" i="3"/>
  <c r="P17" i="3" s="1"/>
  <c r="O16" i="3"/>
  <c r="N16" i="3"/>
  <c r="P16" i="3" s="1"/>
  <c r="P15" i="3"/>
  <c r="O15" i="3"/>
  <c r="N15" i="3"/>
  <c r="O14" i="3"/>
  <c r="N14" i="3"/>
  <c r="P14" i="3" s="1"/>
  <c r="O13" i="3"/>
  <c r="N13" i="3"/>
  <c r="P13" i="3" s="1"/>
  <c r="O12" i="3"/>
  <c r="N12" i="3"/>
  <c r="P12" i="3" s="1"/>
  <c r="P11" i="3"/>
  <c r="O11" i="3"/>
  <c r="N11" i="3"/>
  <c r="O10" i="3"/>
  <c r="N10" i="3"/>
  <c r="P10" i="3" s="1"/>
  <c r="P44" i="2"/>
  <c r="P43" i="2"/>
  <c r="P42" i="2"/>
  <c r="P41" i="2"/>
  <c r="P40" i="2"/>
  <c r="P39" i="2"/>
  <c r="P38" i="2"/>
  <c r="O37" i="2"/>
  <c r="N37" i="2"/>
  <c r="P37" i="2" s="1"/>
  <c r="O36" i="2"/>
  <c r="N36" i="2"/>
  <c r="P36" i="2" s="1"/>
  <c r="O35" i="2"/>
  <c r="N35" i="2"/>
  <c r="P35" i="2" s="1"/>
  <c r="O34" i="2"/>
  <c r="N34" i="2"/>
  <c r="P34" i="2" s="1"/>
  <c r="P33" i="2"/>
  <c r="O33" i="2"/>
  <c r="N33" i="2"/>
  <c r="O32" i="2"/>
  <c r="P32" i="2" s="1"/>
  <c r="N32" i="2"/>
  <c r="O31" i="2"/>
  <c r="N31" i="2"/>
  <c r="P31" i="2" s="1"/>
  <c r="O30" i="2"/>
  <c r="N30" i="2"/>
  <c r="P30" i="2" s="1"/>
  <c r="P29" i="2"/>
  <c r="O29" i="2"/>
  <c r="N29" i="2"/>
  <c r="O28" i="2"/>
  <c r="P28" i="2" s="1"/>
  <c r="N28" i="2"/>
  <c r="O27" i="2"/>
  <c r="N27" i="2"/>
  <c r="P27" i="2" s="1"/>
  <c r="O26" i="2"/>
  <c r="N26" i="2"/>
  <c r="P26" i="2" s="1"/>
  <c r="P25" i="2"/>
  <c r="O25" i="2"/>
  <c r="N25" i="2"/>
  <c r="O24" i="2"/>
  <c r="P24" i="2" s="1"/>
  <c r="N24" i="2"/>
  <c r="O23" i="2"/>
  <c r="N23" i="2"/>
  <c r="P23" i="2" s="1"/>
  <c r="O22" i="2"/>
  <c r="N22" i="2"/>
  <c r="P22" i="2" s="1"/>
  <c r="P21" i="2"/>
  <c r="O21" i="2"/>
  <c r="N21" i="2"/>
  <c r="O20" i="2"/>
  <c r="P20" i="2" s="1"/>
  <c r="N20" i="2"/>
  <c r="O19" i="2"/>
  <c r="N19" i="2"/>
  <c r="P19" i="2" s="1"/>
  <c r="O18" i="2"/>
  <c r="N18" i="2"/>
  <c r="P18" i="2" s="1"/>
  <c r="P17" i="2"/>
  <c r="O17" i="2"/>
  <c r="N17" i="2"/>
  <c r="O16" i="2"/>
  <c r="P16" i="2" s="1"/>
  <c r="N16" i="2"/>
  <c r="O15" i="2"/>
  <c r="N15" i="2"/>
  <c r="P15" i="2" s="1"/>
  <c r="O14" i="2"/>
  <c r="N14" i="2"/>
  <c r="P14" i="2" s="1"/>
  <c r="P13" i="2"/>
  <c r="O13" i="2"/>
  <c r="N13" i="2"/>
  <c r="O12" i="2"/>
  <c r="N12" i="2"/>
  <c r="P12" i="2" s="1"/>
  <c r="O11" i="2"/>
  <c r="N11" i="2"/>
  <c r="P11" i="2" s="1"/>
  <c r="P10" i="2"/>
  <c r="O10" i="2"/>
  <c r="N10" i="2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</calcChain>
</file>

<file path=xl/sharedStrings.xml><?xml version="1.0" encoding="utf-8"?>
<sst xmlns="http://schemas.openxmlformats.org/spreadsheetml/2006/main" count="178" uniqueCount="97">
  <si>
    <t>DAFTAR KOLEKTIF NILAI KURIKULUM MERDEKA</t>
  </si>
  <si>
    <t xml:space="preserve">SMP SWASTA  IT AD DURRAH </t>
  </si>
  <si>
    <t xml:space="preserve">KELAS </t>
  </si>
  <si>
    <t xml:space="preserve">: </t>
  </si>
  <si>
    <t>MATA PELAJARAN</t>
  </si>
  <si>
    <t>SEMESTER</t>
  </si>
  <si>
    <t>NO</t>
  </si>
  <si>
    <t xml:space="preserve">NAMA </t>
  </si>
  <si>
    <t>FORMATIF / NH</t>
  </si>
  <si>
    <t>FORMATIF / UH</t>
  </si>
  <si>
    <t>SUMATIF</t>
  </si>
  <si>
    <t>RATA-RATA</t>
  </si>
  <si>
    <t>NR</t>
  </si>
  <si>
    <t>NB :</t>
  </si>
  <si>
    <t>LM 1</t>
  </si>
  <si>
    <t>LM 2</t>
  </si>
  <si>
    <t>LM3</t>
  </si>
  <si>
    <t>LM4</t>
  </si>
  <si>
    <t>LM5</t>
  </si>
  <si>
    <t>LM2</t>
  </si>
  <si>
    <t>STS</t>
  </si>
  <si>
    <t>NH</t>
  </si>
  <si>
    <t>UH</t>
  </si>
  <si>
    <t>LM = Lingkup Materi ( KD )</t>
  </si>
  <si>
    <t>AFIFAH DHIA FADILLAH</t>
  </si>
  <si>
    <t>NH = Nilai Harian</t>
  </si>
  <si>
    <t>ALIFIA AJWA</t>
  </si>
  <si>
    <t>UH = Ulangan Harian</t>
  </si>
  <si>
    <t>AURELIA MUTIARA RAMDANI</t>
  </si>
  <si>
    <t>US = Ujian Sekolah</t>
  </si>
  <si>
    <t>AZIZAH ZAHRA SIREGAR</t>
  </si>
  <si>
    <t xml:space="preserve">NR = Nilai Raport </t>
  </si>
  <si>
    <t>AZURA FAIRUUS BARDANI</t>
  </si>
  <si>
    <t>Pembagi Rata2 Disesuaikan dengan bayaknya LM</t>
  </si>
  <si>
    <t>FATHINAH KINARA JALIKA</t>
  </si>
  <si>
    <t>INAYA AZMI ATHIFA</t>
  </si>
  <si>
    <t>Keiko Mutiara Zahra</t>
  </si>
  <si>
    <t>Khanza Aya Diyya</t>
  </si>
  <si>
    <t>KHEYSA RASHIFA</t>
  </si>
  <si>
    <t>NAISYAH SALSABILA NUSI</t>
  </si>
  <si>
    <t>NAURA DZAKIYYA SAKHI</t>
  </si>
  <si>
    <t>ORIN FARAH DINA</t>
  </si>
  <si>
    <t>QANITA AQILAH ALFARIZSIH</t>
  </si>
  <si>
    <t>RIZKA ALYA PUTRI</t>
  </si>
  <si>
    <t>SALSABIL SHAFA PRAYOGO</t>
  </si>
  <si>
    <t>SHABRINA HALWA</t>
  </si>
  <si>
    <t>Siti Nafisah Ray</t>
  </si>
  <si>
    <t>SUCI RAMADHANI</t>
  </si>
  <si>
    <t>SUHANA AICA ACSYAH HSB</t>
  </si>
  <si>
    <t>SYAQILLA AULIYANI YOESNAVOSVCKY</t>
  </si>
  <si>
    <t>SYARFINA ANINDYA PUTRI</t>
  </si>
  <si>
    <t>Medan,     Januari 2026</t>
  </si>
  <si>
    <t>Guru Bidang Study</t>
  </si>
  <si>
    <t>_________________________</t>
  </si>
  <si>
    <t>AFIKA HARUMI</t>
  </si>
  <si>
    <t>AFIQAH AZZAHRA</t>
  </si>
  <si>
    <t>ALLYSHA PUTRI WIJAYA</t>
  </si>
  <si>
    <t>AQILA SAHARA</t>
  </si>
  <si>
    <t>Asyifa Naurah Feirus</t>
  </si>
  <si>
    <t>Ayla Shaufa Azzahro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</si>
  <si>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</si>
  <si>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</si>
  <si>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</si>
  <si>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</si>
  <si>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</si>
  <si>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</si>
  <si>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</si>
  <si>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</si>
  <si>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</si>
  <si>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SITI AISAH</t>
  </si>
  <si>
    <t>SUCI ZAIRANI</t>
  </si>
  <si>
    <t>THALIA JEHAN NADITA</t>
  </si>
  <si>
    <t>Vivi Aulia Tanjung</t>
  </si>
  <si>
    <t>WAN NAYLA AFIFA</t>
  </si>
  <si>
    <t>YUMNA TALITHA</t>
  </si>
  <si>
    <t>AISYAH RABIUL AWALIYAH PURBA</t>
  </si>
  <si>
    <t>Alifa Nur Zahirah</t>
  </si>
  <si>
    <t>ALYA JAZILA ARANI</t>
  </si>
  <si>
    <t>AMELIA FENETA ZULHAM</t>
  </si>
  <si>
    <t>AQILA AZ ZAHWA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</si>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</sst>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Calibri"/>
      <charset val="134"/>
      <scheme val="minor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121212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33CC"/>
        <bgColor rgb="FFFF33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0" borderId="0" xfId="0" applyFont="1"/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1" fontId="2" fillId="2" borderId="5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/>
    <xf numFmtId="0" fontId="8" fillId="2" borderId="5" xfId="0" applyFont="1" applyFill="1" applyBorder="1" applyAlignment="1">
      <alignment horizontal="center" vertical="center"/>
    </xf>
    <xf numFmtId="0" fontId="9" fillId="0" borderId="5" xfId="0" applyFont="1" applyBorder="1"/>
    <xf numFmtId="0" fontId="7" fillId="2" borderId="5" xfId="0" applyFont="1" applyFill="1" applyBorder="1" applyAlignment="1">
      <alignment horizontal="left" vertical="center"/>
    </xf>
    <xf numFmtId="0" fontId="10" fillId="2" borderId="5" xfId="0" applyFont="1" applyFill="1" applyBorder="1"/>
    <xf numFmtId="0" fontId="10" fillId="0" borderId="5" xfId="0" applyFont="1" applyBorder="1"/>
    <xf numFmtId="0" fontId="2" fillId="2" borderId="5" xfId="0" applyFont="1" applyFill="1" applyBorder="1" applyAlignment="1">
      <alignment vertical="center"/>
    </xf>
    <xf numFmtId="1" fontId="2" fillId="0" borderId="0" xfId="0" applyNumberFormat="1" applyFont="1"/>
    <xf numFmtId="0" fontId="2" fillId="2" borderId="5" xfId="0" applyFont="1" applyFill="1" applyBorder="1" applyAlignment="1">
      <alignment horizontal="center"/>
    </xf>
    <xf numFmtId="0" fontId="10" fillId="0" borderId="5" xfId="0" applyFont="1" applyBorder="1" applyAlignment="1">
      <alignment vertical="center"/>
    </xf>
    <xf numFmtId="0" fontId="10" fillId="2" borderId="0" xfId="0" applyFont="1" applyFill="1" applyBorder="1"/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6" xfId="0" applyFont="1" applyBorder="1"/>
    <xf numFmtId="0" fontId="3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1" fillId="0" borderId="0" xfId="0" applyFont="1"/>
    <xf numFmtId="1" fontId="2" fillId="8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0" fillId="2" borderId="0" xfId="0" applyFont="1" applyFill="1"/>
    <xf numFmtId="0" fontId="3" fillId="8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 wrapText="1"/>
    </xf>
    <xf numFmtId="1" fontId="8" fillId="8" borderId="7" xfId="0" applyNumberFormat="1" applyFont="1" applyFill="1" applyBorder="1" applyAlignment="1">
      <alignment horizontal="center" vertical="center"/>
    </xf>
    <xf numFmtId="0" fontId="13" fillId="8" borderId="7" xfId="0" applyFont="1" applyFill="1" applyBorder="1"/>
    <xf numFmtId="0" fontId="8" fillId="8" borderId="7" xfId="0" applyFont="1" applyFill="1" applyBorder="1" applyAlignment="1">
      <alignment horizontal="center" vertical="center"/>
    </xf>
    <xf numFmtId="0" fontId="13" fillId="0" borderId="7" xfId="0" applyFont="1" applyBorder="1"/>
    <xf numFmtId="0" fontId="0" fillId="8" borderId="7" xfId="0" applyFill="1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14" fillId="0" borderId="0" xfId="0" applyFont="1" applyAlignment="1">
      <alignment wrapText="1"/>
    </xf>
    <xf numFmtId="0" fontId="2" fillId="8" borderId="7" xfId="0" applyFont="1" applyFill="1" applyBorder="1" applyAlignment="1">
      <alignment horizontal="center"/>
    </xf>
    <xf numFmtId="0" fontId="0" fillId="8" borderId="0" xfId="0" applyFill="1"/>
    <xf numFmtId="0" fontId="2" fillId="0" borderId="7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2" zoomScale="61" zoomScaleNormal="61" workbookViewId="0">
      <selection activeCell="H21" sqref="H21"/>
    </sheetView>
  </sheetViews>
  <sheetFormatPr defaultColWidth="14.453125" defaultRowHeight="15" customHeight="1"/>
  <cols>
    <col min="1" max="1" width="8.7265625" customWidth="1"/>
    <col min="2" max="2" width="40.1796875" customWidth="1"/>
    <col min="3" max="9" width="8.7265625" customWidth="1"/>
    <col min="10" max="10" width="9.26953125" customWidth="1"/>
    <col min="11" max="12" width="8.7265625" customWidth="1"/>
    <col min="13" max="13" width="14" customWidth="1"/>
    <col min="14" max="14" width="10.7265625" customWidth="1"/>
    <col min="15" max="15" width="12.81640625" customWidth="1"/>
    <col min="16" max="16" width="38.453125" customWidth="1"/>
    <col min="17" max="22" width="8.7265625" customWidth="1"/>
    <col min="23" max="23" width="11.54296875" customWidth="1"/>
    <col min="24" max="24" width="8.7265625" customWidth="1"/>
    <col min="25" max="25" width="28.453125" customWidth="1"/>
    <col min="26" max="27" width="8.7265625" customWidth="1"/>
  </cols>
  <sheetData>
    <row r="1" spans="1:18" ht="14.2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1"/>
      <c r="R1" s="1"/>
    </row>
    <row r="2" spans="1:18" ht="14.25" customHeight="1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1"/>
      <c r="R2" s="1"/>
    </row>
    <row r="3" spans="1:18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.25" customHeight="1">
      <c r="A4" s="2" t="s">
        <v>2</v>
      </c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25" customHeight="1">
      <c r="A5" s="2" t="s">
        <v>4</v>
      </c>
      <c r="B5" s="1"/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4.25" customHeight="1">
      <c r="A6" s="2" t="s">
        <v>5</v>
      </c>
      <c r="B6" s="1"/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2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 customHeight="1">
      <c r="A8" s="34" t="s">
        <v>6</v>
      </c>
      <c r="B8" s="36" t="s">
        <v>7</v>
      </c>
      <c r="C8" s="29" t="s">
        <v>8</v>
      </c>
      <c r="D8" s="30"/>
      <c r="E8" s="30"/>
      <c r="F8" s="30"/>
      <c r="G8" s="31"/>
      <c r="H8" s="32" t="s">
        <v>9</v>
      </c>
      <c r="I8" s="30"/>
      <c r="J8" s="30"/>
      <c r="K8" s="30"/>
      <c r="L8" s="31"/>
      <c r="M8" s="4" t="s">
        <v>10</v>
      </c>
      <c r="N8" s="33" t="s">
        <v>11</v>
      </c>
      <c r="O8" s="31"/>
      <c r="P8" s="3" t="s">
        <v>12</v>
      </c>
      <c r="R8" s="5" t="s">
        <v>13</v>
      </c>
    </row>
    <row r="9" spans="1:18" ht="14.25" customHeight="1">
      <c r="A9" s="35"/>
      <c r="B9" s="35"/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7" t="s">
        <v>14</v>
      </c>
      <c r="I9" s="7" t="s">
        <v>19</v>
      </c>
      <c r="J9" s="7" t="s">
        <v>16</v>
      </c>
      <c r="K9" s="7" t="s">
        <v>17</v>
      </c>
      <c r="L9" s="7" t="s">
        <v>18</v>
      </c>
      <c r="M9" s="4" t="s">
        <v>20</v>
      </c>
      <c r="N9" s="8" t="s">
        <v>21</v>
      </c>
      <c r="O9" s="8" t="s">
        <v>22</v>
      </c>
      <c r="P9" s="9"/>
      <c r="R9" s="2" t="s">
        <v>23</v>
      </c>
    </row>
    <row r="10" spans="1:18" ht="14.25" customHeight="1">
      <c r="A10" s="10">
        <v>1</v>
      </c>
      <c r="B10" s="11" t="s">
        <v>24</v>
      </c>
      <c r="C10" s="12">
        <v>85</v>
      </c>
      <c r="D10" s="10">
        <v>95</v>
      </c>
      <c r="E10" s="13"/>
      <c r="F10" s="14"/>
      <c r="G10" s="14"/>
      <c r="H10" s="12">
        <v>85</v>
      </c>
      <c r="I10" s="10">
        <v>95</v>
      </c>
      <c r="J10" s="15"/>
      <c r="K10" s="15"/>
      <c r="L10" s="15"/>
      <c r="M10" s="16">
        <v>79</v>
      </c>
      <c r="N10" s="13">
        <v>90</v>
      </c>
      <c r="O10" s="13">
        <v>90</v>
      </c>
      <c r="P10" s="12">
        <f t="shared" ref="P10:P44" si="0">(M10*30/100)+(N10*35/100)+(O10*35/100)</f>
        <v>86.7</v>
      </c>
      <c r="R10" s="2" t="s">
        <v>25</v>
      </c>
    </row>
    <row r="11" spans="1:18" ht="14.25" customHeight="1">
      <c r="A11" s="10">
        <v>2</v>
      </c>
      <c r="B11" s="17" t="s">
        <v>26</v>
      </c>
      <c r="C11" s="12">
        <v>85</v>
      </c>
      <c r="D11" s="10">
        <v>95</v>
      </c>
      <c r="E11" s="12"/>
      <c r="F11" s="18"/>
      <c r="G11" s="18"/>
      <c r="H11" s="12">
        <v>85</v>
      </c>
      <c r="I11" s="10">
        <v>95</v>
      </c>
      <c r="J11" s="10"/>
      <c r="K11" s="10"/>
      <c r="L11" s="10"/>
      <c r="M11" s="19">
        <v>75</v>
      </c>
      <c r="N11" s="13">
        <v>90</v>
      </c>
      <c r="O11" s="13">
        <v>90</v>
      </c>
      <c r="P11" s="12">
        <f t="shared" si="0"/>
        <v>85.5</v>
      </c>
      <c r="R11" s="2" t="s">
        <v>27</v>
      </c>
    </row>
    <row r="12" spans="1:18" ht="14.25" customHeight="1">
      <c r="A12" s="10">
        <v>3</v>
      </c>
      <c r="B12" s="17" t="s">
        <v>28</v>
      </c>
      <c r="C12" s="12">
        <v>85</v>
      </c>
      <c r="D12" s="10">
        <v>95</v>
      </c>
      <c r="E12" s="12"/>
      <c r="F12" s="18"/>
      <c r="G12" s="18"/>
      <c r="H12" s="12">
        <v>85</v>
      </c>
      <c r="I12" s="10">
        <v>95</v>
      </c>
      <c r="J12" s="10"/>
      <c r="K12" s="10"/>
      <c r="L12" s="10"/>
      <c r="M12" s="19">
        <v>75</v>
      </c>
      <c r="N12" s="13">
        <v>90</v>
      </c>
      <c r="O12" s="13">
        <v>90</v>
      </c>
      <c r="P12" s="12">
        <f t="shared" si="0"/>
        <v>85.5</v>
      </c>
      <c r="R12" s="2" t="s">
        <v>29</v>
      </c>
    </row>
    <row r="13" spans="1:18" ht="14.25" customHeight="1">
      <c r="A13" s="10">
        <v>4</v>
      </c>
      <c r="B13" s="17" t="s">
        <v>30</v>
      </c>
      <c r="C13" s="12">
        <v>85</v>
      </c>
      <c r="D13" s="10">
        <v>95</v>
      </c>
      <c r="E13" s="12"/>
      <c r="F13" s="18"/>
      <c r="G13" s="18"/>
      <c r="H13" s="12">
        <v>85</v>
      </c>
      <c r="I13" s="10">
        <v>95</v>
      </c>
      <c r="J13" s="10"/>
      <c r="K13" s="10"/>
      <c r="L13" s="10"/>
      <c r="M13" s="19">
        <v>79</v>
      </c>
      <c r="N13" s="13">
        <v>90</v>
      </c>
      <c r="O13" s="13">
        <v>90</v>
      </c>
      <c r="P13" s="12">
        <f t="shared" si="0"/>
        <v>86.7</v>
      </c>
      <c r="R13" s="2" t="s">
        <v>31</v>
      </c>
    </row>
    <row r="14" spans="1:18" ht="14.25" customHeight="1">
      <c r="A14" s="10">
        <v>5</v>
      </c>
      <c r="B14" s="20" t="s">
        <v>32</v>
      </c>
      <c r="C14" s="12">
        <v>85</v>
      </c>
      <c r="D14" s="10">
        <v>95</v>
      </c>
      <c r="E14" s="12"/>
      <c r="F14" s="18"/>
      <c r="G14" s="18"/>
      <c r="H14" s="12">
        <v>85</v>
      </c>
      <c r="I14" s="10">
        <v>95</v>
      </c>
      <c r="J14" s="10"/>
      <c r="K14" s="10"/>
      <c r="L14" s="10"/>
      <c r="M14" s="19">
        <v>75</v>
      </c>
      <c r="N14" s="13">
        <v>90</v>
      </c>
      <c r="O14" s="13">
        <v>90</v>
      </c>
      <c r="P14" s="12">
        <f t="shared" si="0"/>
        <v>85.5</v>
      </c>
      <c r="R14" s="2" t="s">
        <v>33</v>
      </c>
    </row>
    <row r="15" spans="1:18" ht="14.25" customHeight="1">
      <c r="A15" s="10">
        <v>6</v>
      </c>
      <c r="B15" s="17" t="s">
        <v>34</v>
      </c>
      <c r="C15" s="12">
        <v>85</v>
      </c>
      <c r="D15" s="10">
        <v>95</v>
      </c>
      <c r="E15" s="12"/>
      <c r="F15" s="18"/>
      <c r="G15" s="18"/>
      <c r="H15" s="12">
        <v>85</v>
      </c>
      <c r="I15" s="10">
        <v>95</v>
      </c>
      <c r="J15" s="10"/>
      <c r="K15" s="10"/>
      <c r="L15" s="10"/>
      <c r="M15" s="19">
        <v>88</v>
      </c>
      <c r="N15" s="13">
        <v>90</v>
      </c>
      <c r="O15" s="13">
        <v>90</v>
      </c>
      <c r="P15" s="12">
        <f t="shared" si="0"/>
        <v>89.4</v>
      </c>
      <c r="R15" s="21"/>
    </row>
    <row r="16" spans="1:18" ht="14.25" customHeight="1">
      <c r="A16" s="10">
        <v>7</v>
      </c>
      <c r="B16" s="17" t="s">
        <v>35</v>
      </c>
      <c r="C16" s="12">
        <v>85</v>
      </c>
      <c r="D16" s="10">
        <v>95</v>
      </c>
      <c r="E16" s="12"/>
      <c r="F16" s="18"/>
      <c r="G16" s="18"/>
      <c r="H16" s="12">
        <v>85</v>
      </c>
      <c r="I16" s="10">
        <v>95</v>
      </c>
      <c r="J16" s="10"/>
      <c r="K16" s="10"/>
      <c r="L16" s="10"/>
      <c r="M16" s="19">
        <v>82</v>
      </c>
      <c r="N16" s="13">
        <v>90</v>
      </c>
      <c r="O16" s="13">
        <v>90</v>
      </c>
      <c r="P16" s="12">
        <f t="shared" si="0"/>
        <v>87.6</v>
      </c>
      <c r="R16" s="21"/>
    </row>
    <row r="17" spans="1:18" ht="14.25" customHeight="1">
      <c r="A17" s="10">
        <v>8</v>
      </c>
      <c r="B17" s="17" t="s">
        <v>36</v>
      </c>
      <c r="C17" s="12">
        <v>85</v>
      </c>
      <c r="D17" s="10">
        <v>95</v>
      </c>
      <c r="E17" s="12"/>
      <c r="F17" s="18"/>
      <c r="G17" s="18"/>
      <c r="H17" s="12">
        <v>85</v>
      </c>
      <c r="I17" s="10">
        <v>95</v>
      </c>
      <c r="J17" s="10"/>
      <c r="K17" s="10"/>
      <c r="L17" s="10"/>
      <c r="M17" s="19">
        <v>82</v>
      </c>
      <c r="N17" s="13">
        <v>90</v>
      </c>
      <c r="O17" s="13">
        <v>90</v>
      </c>
      <c r="P17" s="12">
        <f t="shared" si="0"/>
        <v>87.6</v>
      </c>
      <c r="R17" s="21"/>
    </row>
    <row r="18" spans="1:18" ht="14.25" customHeight="1">
      <c r="A18" s="10">
        <v>9</v>
      </c>
      <c r="B18" s="17" t="s">
        <v>37</v>
      </c>
      <c r="C18" s="12">
        <v>85</v>
      </c>
      <c r="D18" s="10">
        <v>95</v>
      </c>
      <c r="E18" s="12"/>
      <c r="F18" s="18"/>
      <c r="G18" s="18"/>
      <c r="H18" s="12">
        <v>85</v>
      </c>
      <c r="I18" s="10">
        <v>95</v>
      </c>
      <c r="J18" s="10"/>
      <c r="K18" s="10"/>
      <c r="L18" s="10"/>
      <c r="M18" s="19">
        <v>75</v>
      </c>
      <c r="N18" s="13">
        <v>90</v>
      </c>
      <c r="O18" s="13">
        <v>90</v>
      </c>
      <c r="P18" s="12">
        <f t="shared" si="0"/>
        <v>85.5</v>
      </c>
      <c r="R18" s="21"/>
    </row>
    <row r="19" spans="1:18" ht="14.25" customHeight="1">
      <c r="A19" s="10">
        <v>10</v>
      </c>
      <c r="B19" s="17" t="s">
        <v>38</v>
      </c>
      <c r="C19" s="12">
        <v>85</v>
      </c>
      <c r="D19" s="10">
        <v>95</v>
      </c>
      <c r="E19" s="12"/>
      <c r="F19" s="18"/>
      <c r="G19" s="18"/>
      <c r="H19" s="12">
        <v>85</v>
      </c>
      <c r="I19" s="10">
        <v>95</v>
      </c>
      <c r="J19" s="10"/>
      <c r="K19" s="10"/>
      <c r="L19" s="10"/>
      <c r="M19" s="19">
        <v>77</v>
      </c>
      <c r="N19" s="13">
        <v>90</v>
      </c>
      <c r="O19" s="13">
        <v>90</v>
      </c>
      <c r="P19" s="12">
        <f t="shared" si="0"/>
        <v>86.1</v>
      </c>
      <c r="R19" s="21"/>
    </row>
    <row r="20" spans="1:18" ht="14.25" customHeight="1">
      <c r="A20" s="10">
        <v>11</v>
      </c>
      <c r="B20" s="17" t="s">
        <v>39</v>
      </c>
      <c r="C20" s="12">
        <v>85</v>
      </c>
      <c r="D20" s="10">
        <v>95</v>
      </c>
      <c r="E20" s="12"/>
      <c r="F20" s="18"/>
      <c r="G20" s="18"/>
      <c r="H20" s="12">
        <v>85</v>
      </c>
      <c r="I20" s="10">
        <v>95</v>
      </c>
      <c r="J20" s="10"/>
      <c r="K20" s="10"/>
      <c r="L20" s="10"/>
      <c r="M20" s="19">
        <v>85</v>
      </c>
      <c r="N20" s="13">
        <v>90</v>
      </c>
      <c r="O20" s="13">
        <v>90</v>
      </c>
      <c r="P20" s="12">
        <f t="shared" si="0"/>
        <v>88.5</v>
      </c>
      <c r="R20" s="21"/>
    </row>
    <row r="21" spans="1:18" ht="14.25" customHeight="1">
      <c r="A21" s="10">
        <v>12</v>
      </c>
      <c r="B21" s="17" t="s">
        <v>40</v>
      </c>
      <c r="C21" s="12">
        <v>85</v>
      </c>
      <c r="D21" s="10">
        <v>95</v>
      </c>
      <c r="E21" s="12"/>
      <c r="F21" s="18"/>
      <c r="G21" s="18"/>
      <c r="H21" s="12">
        <v>88</v>
      </c>
      <c r="I21" s="10">
        <v>95</v>
      </c>
      <c r="J21" s="10"/>
      <c r="K21" s="10"/>
      <c r="L21" s="10"/>
      <c r="M21" s="19">
        <v>90</v>
      </c>
      <c r="N21" s="13">
        <v>90</v>
      </c>
      <c r="O21" s="13">
        <v>90</v>
      </c>
      <c r="P21" s="12">
        <f t="shared" si="0"/>
        <v>90</v>
      </c>
      <c r="R21" s="21"/>
    </row>
    <row r="22" spans="1:18" ht="14.25" customHeight="1">
      <c r="A22" s="10">
        <v>13</v>
      </c>
      <c r="B22" s="17" t="s">
        <v>41</v>
      </c>
      <c r="C22" s="12">
        <v>85</v>
      </c>
      <c r="D22" s="10">
        <v>95</v>
      </c>
      <c r="E22" s="12"/>
      <c r="F22" s="18"/>
      <c r="G22" s="18"/>
      <c r="H22" s="12">
        <v>85</v>
      </c>
      <c r="I22" s="10">
        <v>95</v>
      </c>
      <c r="J22" s="10"/>
      <c r="K22" s="10"/>
      <c r="L22" s="10"/>
      <c r="M22" s="19">
        <v>80</v>
      </c>
      <c r="N22" s="13">
        <v>90</v>
      </c>
      <c r="O22" s="13">
        <v>90</v>
      </c>
      <c r="P22" s="12">
        <f t="shared" si="0"/>
        <v>87</v>
      </c>
      <c r="R22" s="21"/>
    </row>
    <row r="23" spans="1:18" ht="14.25" customHeight="1">
      <c r="A23" s="10">
        <v>14</v>
      </c>
      <c r="B23" s="17" t="s">
        <v>42</v>
      </c>
      <c r="C23" s="12">
        <v>85</v>
      </c>
      <c r="D23" s="10">
        <v>95</v>
      </c>
      <c r="E23" s="12"/>
      <c r="F23" s="18"/>
      <c r="G23" s="18"/>
      <c r="H23" s="12">
        <v>85</v>
      </c>
      <c r="I23" s="10">
        <v>95</v>
      </c>
      <c r="J23" s="10"/>
      <c r="K23" s="10"/>
      <c r="L23" s="10"/>
      <c r="M23" s="19">
        <v>87</v>
      </c>
      <c r="N23" s="13">
        <v>90</v>
      </c>
      <c r="O23" s="13">
        <v>90</v>
      </c>
      <c r="P23" s="12">
        <f t="shared" si="0"/>
        <v>89.1</v>
      </c>
      <c r="R23" s="21"/>
    </row>
    <row r="24" spans="1:18" ht="14.25" customHeight="1">
      <c r="A24" s="10">
        <v>15</v>
      </c>
      <c r="B24" s="17" t="s">
        <v>43</v>
      </c>
      <c r="C24" s="12">
        <v>85</v>
      </c>
      <c r="D24" s="10">
        <v>95</v>
      </c>
      <c r="E24" s="12"/>
      <c r="F24" s="18"/>
      <c r="G24" s="18"/>
      <c r="H24" s="12">
        <v>85</v>
      </c>
      <c r="I24" s="10">
        <v>95</v>
      </c>
      <c r="J24" s="10"/>
      <c r="K24" s="10"/>
      <c r="L24" s="10"/>
      <c r="M24" s="19">
        <v>75</v>
      </c>
      <c r="N24" s="13">
        <v>90</v>
      </c>
      <c r="O24" s="13">
        <v>90</v>
      </c>
      <c r="P24" s="12">
        <f t="shared" si="0"/>
        <v>85.5</v>
      </c>
      <c r="R24" s="21"/>
    </row>
    <row r="25" spans="1:18" ht="14.25" customHeight="1">
      <c r="A25" s="10">
        <v>16</v>
      </c>
      <c r="B25" s="17" t="s">
        <v>44</v>
      </c>
      <c r="C25" s="12">
        <v>85</v>
      </c>
      <c r="D25" s="10">
        <v>95</v>
      </c>
      <c r="E25" s="12"/>
      <c r="F25" s="18"/>
      <c r="G25" s="18"/>
      <c r="H25" s="12">
        <v>85</v>
      </c>
      <c r="I25" s="10">
        <v>95</v>
      </c>
      <c r="J25" s="10"/>
      <c r="K25" s="10"/>
      <c r="L25" s="10"/>
      <c r="M25" s="19">
        <v>75</v>
      </c>
      <c r="N25" s="13">
        <v>90</v>
      </c>
      <c r="O25" s="13">
        <v>90</v>
      </c>
      <c r="P25" s="12">
        <f t="shared" si="0"/>
        <v>85.5</v>
      </c>
      <c r="R25" s="21"/>
    </row>
    <row r="26" spans="1:18" ht="14.25" customHeight="1">
      <c r="A26" s="10">
        <v>17</v>
      </c>
      <c r="B26" s="17" t="s">
        <v>45</v>
      </c>
      <c r="C26" s="12">
        <v>85</v>
      </c>
      <c r="D26" s="10">
        <v>95</v>
      </c>
      <c r="E26" s="12"/>
      <c r="F26" s="18"/>
      <c r="G26" s="18"/>
      <c r="H26" s="12">
        <v>85</v>
      </c>
      <c r="I26" s="10">
        <v>95</v>
      </c>
      <c r="J26" s="10"/>
      <c r="K26" s="10"/>
      <c r="L26" s="10"/>
      <c r="M26" s="19">
        <v>75</v>
      </c>
      <c r="N26" s="13">
        <v>90</v>
      </c>
      <c r="O26" s="13">
        <v>90</v>
      </c>
      <c r="P26" s="12">
        <f t="shared" si="0"/>
        <v>85.5</v>
      </c>
      <c r="R26" s="21"/>
    </row>
    <row r="27" spans="1:18" ht="14.25" customHeight="1">
      <c r="A27" s="10">
        <v>18</v>
      </c>
      <c r="B27" s="17" t="s">
        <v>46</v>
      </c>
      <c r="C27" s="12">
        <v>85</v>
      </c>
      <c r="D27" s="10">
        <v>95</v>
      </c>
      <c r="E27" s="12"/>
      <c r="F27" s="18"/>
      <c r="G27" s="18"/>
      <c r="H27" s="12">
        <v>85</v>
      </c>
      <c r="I27" s="10">
        <v>95</v>
      </c>
      <c r="J27" s="10"/>
      <c r="K27" s="10"/>
      <c r="L27" s="10"/>
      <c r="M27" s="19">
        <v>80</v>
      </c>
      <c r="N27" s="13">
        <v>90</v>
      </c>
      <c r="O27" s="13">
        <v>90</v>
      </c>
      <c r="P27" s="12">
        <f t="shared" si="0"/>
        <v>87</v>
      </c>
      <c r="R27" s="21"/>
    </row>
    <row r="28" spans="1:18" ht="14.25" customHeight="1">
      <c r="A28" s="10">
        <v>19</v>
      </c>
      <c r="B28" s="17" t="s">
        <v>47</v>
      </c>
      <c r="C28" s="12">
        <v>85</v>
      </c>
      <c r="D28" s="10">
        <v>95</v>
      </c>
      <c r="E28" s="12"/>
      <c r="F28" s="18"/>
      <c r="G28" s="18"/>
      <c r="H28" s="12">
        <v>85</v>
      </c>
      <c r="I28" s="10">
        <v>95</v>
      </c>
      <c r="J28" s="10"/>
      <c r="K28" s="10"/>
      <c r="L28" s="10"/>
      <c r="M28" s="19">
        <v>75</v>
      </c>
      <c r="N28" s="13">
        <v>90</v>
      </c>
      <c r="O28" s="13">
        <v>90</v>
      </c>
      <c r="P28" s="12">
        <f t="shared" si="0"/>
        <v>85.5</v>
      </c>
      <c r="R28" s="21"/>
    </row>
    <row r="29" spans="1:18" ht="14.25" customHeight="1">
      <c r="A29" s="10">
        <v>20</v>
      </c>
      <c r="B29" s="17" t="s">
        <v>48</v>
      </c>
      <c r="C29" s="12">
        <v>85</v>
      </c>
      <c r="D29" s="10">
        <v>95</v>
      </c>
      <c r="E29" s="12"/>
      <c r="F29" s="18"/>
      <c r="G29" s="18"/>
      <c r="H29" s="12">
        <v>85</v>
      </c>
      <c r="I29" s="10">
        <v>95</v>
      </c>
      <c r="J29" s="10"/>
      <c r="K29" s="10"/>
      <c r="L29" s="10"/>
      <c r="M29" s="19">
        <v>75</v>
      </c>
      <c r="N29" s="13">
        <v>90</v>
      </c>
      <c r="O29" s="13">
        <v>90</v>
      </c>
      <c r="P29" s="12">
        <f t="shared" si="0"/>
        <v>85.5</v>
      </c>
      <c r="R29" s="21"/>
    </row>
    <row r="30" spans="1:18" ht="14.25" customHeight="1">
      <c r="A30" s="10">
        <v>21</v>
      </c>
      <c r="B30" s="17" t="s">
        <v>49</v>
      </c>
      <c r="C30" s="12">
        <v>85</v>
      </c>
      <c r="D30" s="10">
        <v>95</v>
      </c>
      <c r="E30" s="12"/>
      <c r="F30" s="18"/>
      <c r="G30" s="18"/>
      <c r="H30" s="12">
        <v>85</v>
      </c>
      <c r="I30" s="10">
        <v>95</v>
      </c>
      <c r="J30" s="10"/>
      <c r="K30" s="10"/>
      <c r="L30" s="10"/>
      <c r="M30" s="19">
        <v>75</v>
      </c>
      <c r="N30" s="13">
        <v>90</v>
      </c>
      <c r="O30" s="13">
        <v>90</v>
      </c>
      <c r="P30" s="12">
        <f t="shared" si="0"/>
        <v>85.5</v>
      </c>
      <c r="R30" s="21"/>
    </row>
    <row r="31" spans="1:18" ht="14.25" customHeight="1">
      <c r="A31" s="10">
        <v>22</v>
      </c>
      <c r="B31" s="17" t="s">
        <v>50</v>
      </c>
      <c r="C31" s="12">
        <v>85</v>
      </c>
      <c r="D31" s="10">
        <v>95</v>
      </c>
      <c r="E31" s="12"/>
      <c r="F31" s="18"/>
      <c r="G31" s="18"/>
      <c r="H31" s="12">
        <v>85</v>
      </c>
      <c r="I31" s="10">
        <v>95</v>
      </c>
      <c r="J31" s="10"/>
      <c r="K31" s="10"/>
      <c r="L31" s="10"/>
      <c r="M31" s="19">
        <v>97</v>
      </c>
      <c r="N31" s="13">
        <v>90</v>
      </c>
      <c r="O31" s="13">
        <v>90</v>
      </c>
      <c r="P31" s="12">
        <f t="shared" si="0"/>
        <v>92.1</v>
      </c>
      <c r="R31" s="21"/>
    </row>
    <row r="32" spans="1:18" ht="14.25" customHeight="1">
      <c r="A32" s="10">
        <v>23</v>
      </c>
      <c r="B32" s="17"/>
      <c r="C32" s="12"/>
      <c r="D32" s="12"/>
      <c r="E32" s="12"/>
      <c r="F32" s="18"/>
      <c r="G32" s="18"/>
      <c r="H32" s="10"/>
      <c r="I32" s="10"/>
      <c r="J32" s="10"/>
      <c r="K32" s="10"/>
      <c r="L32" s="10"/>
      <c r="M32" s="19"/>
      <c r="N32" s="13"/>
      <c r="O32" s="13"/>
      <c r="P32" s="12">
        <f t="shared" si="0"/>
        <v>0</v>
      </c>
      <c r="R32" s="21"/>
    </row>
    <row r="33" spans="1:27" ht="14.25" customHeight="1">
      <c r="A33" s="10">
        <v>24</v>
      </c>
      <c r="B33" s="17"/>
      <c r="C33" s="12"/>
      <c r="D33" s="12"/>
      <c r="E33" s="12"/>
      <c r="F33" s="18"/>
      <c r="G33" s="18"/>
      <c r="H33" s="10"/>
      <c r="I33" s="10"/>
      <c r="J33" s="10"/>
      <c r="K33" s="10"/>
      <c r="L33" s="10"/>
      <c r="M33" s="19"/>
      <c r="N33" s="13"/>
      <c r="O33" s="13"/>
      <c r="P33" s="12">
        <f t="shared" si="0"/>
        <v>0</v>
      </c>
      <c r="R33" s="21"/>
    </row>
    <row r="34" spans="1:27" ht="14.25" customHeight="1">
      <c r="A34" s="10">
        <v>25</v>
      </c>
      <c r="B34" s="17"/>
      <c r="C34" s="12"/>
      <c r="D34" s="12"/>
      <c r="E34" s="12"/>
      <c r="F34" s="18"/>
      <c r="G34" s="18"/>
      <c r="H34" s="10"/>
      <c r="I34" s="10"/>
      <c r="J34" s="10"/>
      <c r="K34" s="10"/>
      <c r="L34" s="10"/>
      <c r="M34" s="19"/>
      <c r="N34" s="13"/>
      <c r="O34" s="13"/>
      <c r="P34" s="12">
        <f t="shared" si="0"/>
        <v>0</v>
      </c>
      <c r="R34" s="21"/>
    </row>
    <row r="35" spans="1:27" ht="14.25" customHeight="1">
      <c r="A35" s="10">
        <v>26</v>
      </c>
      <c r="B35" s="17"/>
      <c r="C35" s="12"/>
      <c r="D35" s="12"/>
      <c r="E35" s="12"/>
      <c r="F35" s="18"/>
      <c r="G35" s="18"/>
      <c r="H35" s="10"/>
      <c r="I35" s="10"/>
      <c r="J35" s="10"/>
      <c r="K35" s="22"/>
      <c r="L35" s="22"/>
      <c r="M35" s="19"/>
      <c r="N35" s="13"/>
      <c r="O35" s="13"/>
      <c r="P35" s="12">
        <f t="shared" si="0"/>
        <v>0</v>
      </c>
      <c r="R35" s="21"/>
    </row>
    <row r="36" spans="1:27" ht="14.25" customHeight="1">
      <c r="A36" s="10">
        <v>27</v>
      </c>
      <c r="B36" s="17"/>
      <c r="C36" s="12"/>
      <c r="D36" s="10"/>
      <c r="E36" s="12"/>
      <c r="F36" s="18"/>
      <c r="G36" s="18"/>
      <c r="H36" s="10"/>
      <c r="I36" s="10"/>
      <c r="J36" s="10"/>
      <c r="K36" s="10"/>
      <c r="L36" s="10"/>
      <c r="M36" s="19"/>
      <c r="N36" s="13"/>
      <c r="O36" s="13"/>
      <c r="P36" s="12">
        <f t="shared" si="0"/>
        <v>0</v>
      </c>
      <c r="R36" s="21"/>
    </row>
    <row r="37" spans="1:27" ht="14.25" customHeight="1">
      <c r="A37" s="10">
        <v>28</v>
      </c>
      <c r="B37" s="17"/>
      <c r="C37" s="12"/>
      <c r="D37" s="12"/>
      <c r="E37" s="12"/>
      <c r="F37" s="18"/>
      <c r="G37" s="18"/>
      <c r="H37" s="10"/>
      <c r="I37" s="10"/>
      <c r="J37" s="10"/>
      <c r="K37" s="10"/>
      <c r="L37" s="10"/>
      <c r="M37" s="19"/>
      <c r="N37" s="13"/>
      <c r="O37" s="13"/>
      <c r="P37" s="12">
        <f t="shared" si="0"/>
        <v>0</v>
      </c>
      <c r="R37" s="21"/>
    </row>
    <row r="38" spans="1:27" ht="14.25" customHeight="1">
      <c r="A38" s="10">
        <v>29</v>
      </c>
      <c r="B38" s="17"/>
      <c r="C38" s="10"/>
      <c r="D38" s="10"/>
      <c r="E38" s="10"/>
      <c r="F38" s="18"/>
      <c r="G38" s="18"/>
      <c r="H38" s="10"/>
      <c r="I38" s="10"/>
      <c r="J38" s="10"/>
      <c r="K38" s="10"/>
      <c r="L38" s="10"/>
      <c r="M38" s="19"/>
      <c r="N38" s="13"/>
      <c r="O38" s="13"/>
      <c r="P38" s="12">
        <f t="shared" si="0"/>
        <v>0</v>
      </c>
      <c r="R38" s="21"/>
    </row>
    <row r="39" spans="1:27" ht="14.25" customHeight="1">
      <c r="A39" s="10">
        <v>30</v>
      </c>
      <c r="B39" s="23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3"/>
      <c r="O39" s="13"/>
      <c r="P39" s="12">
        <f t="shared" si="0"/>
        <v>0</v>
      </c>
      <c r="Q39" s="1"/>
      <c r="R39" s="1"/>
      <c r="X39" s="24"/>
      <c r="AA39" s="24"/>
    </row>
    <row r="40" spans="1:27" ht="14.25" customHeight="1">
      <c r="A40" s="10">
        <v>31</v>
      </c>
      <c r="B40" s="23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3"/>
      <c r="O40" s="13"/>
      <c r="P40" s="12">
        <f t="shared" si="0"/>
        <v>0</v>
      </c>
      <c r="Q40" s="1"/>
      <c r="R40" s="1"/>
    </row>
    <row r="41" spans="1:27" ht="14.25" customHeight="1">
      <c r="A41" s="10">
        <v>32</v>
      </c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3"/>
      <c r="O41" s="13"/>
      <c r="P41" s="12">
        <f t="shared" si="0"/>
        <v>0</v>
      </c>
      <c r="Q41" s="1"/>
      <c r="R41" s="1"/>
    </row>
    <row r="42" spans="1:27" ht="14.25" customHeight="1">
      <c r="A42" s="10">
        <v>33</v>
      </c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19"/>
      <c r="O42" s="26"/>
      <c r="P42" s="12">
        <f t="shared" si="0"/>
        <v>0</v>
      </c>
      <c r="Q42" s="1"/>
      <c r="R42" s="1"/>
    </row>
    <row r="43" spans="1:27" ht="14.25" customHeight="1">
      <c r="A43" s="10">
        <v>34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19"/>
      <c r="O43" s="26"/>
      <c r="P43" s="12">
        <f t="shared" si="0"/>
        <v>0</v>
      </c>
      <c r="Q43" s="1"/>
      <c r="R43" s="1"/>
    </row>
    <row r="44" spans="1:27" ht="14.25" customHeight="1">
      <c r="A44" s="10">
        <v>35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19"/>
      <c r="O44" s="26"/>
      <c r="P44" s="12">
        <f t="shared" si="0"/>
        <v>0</v>
      </c>
      <c r="Q44" s="1"/>
      <c r="R44" s="1"/>
    </row>
    <row r="45" spans="1:27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</row>
    <row r="46" spans="1:27" ht="14.25" customHeight="1"/>
    <row r="47" spans="1:27" ht="14.25" customHeight="1">
      <c r="N47" s="2" t="s">
        <v>51</v>
      </c>
    </row>
    <row r="48" spans="1:27" ht="14.25" customHeight="1">
      <c r="N48" s="2" t="s">
        <v>52</v>
      </c>
    </row>
    <row r="49" spans="14:14" ht="14.25" customHeight="1">
      <c r="N49" s="2"/>
    </row>
    <row r="50" spans="14:14" ht="14.25" customHeight="1">
      <c r="N50" s="2"/>
    </row>
    <row r="51" spans="14:14" ht="14.25" customHeight="1">
      <c r="N51" s="2" t="s">
        <v>53</v>
      </c>
    </row>
    <row r="52" spans="14:14" ht="14.25" customHeight="1"/>
    <row r="53" spans="14:14" ht="14.25" customHeight="1"/>
    <row r="54" spans="14:14" ht="14.25" customHeight="1"/>
    <row r="55" spans="14:14" ht="14.25" customHeight="1"/>
    <row r="56" spans="14:14" ht="14.25" customHeight="1"/>
    <row r="57" spans="14:14" ht="14.25" customHeight="1"/>
    <row r="58" spans="14:14" ht="14.25" customHeight="1"/>
    <row r="59" spans="14:14" ht="14.25" customHeight="1"/>
    <row r="60" spans="14:14" ht="14.25" customHeight="1"/>
    <row r="61" spans="14:14" ht="14.25" customHeight="1"/>
    <row r="62" spans="14:14" ht="14.25" customHeight="1"/>
    <row r="63" spans="14:14" ht="14.25" customHeight="1"/>
    <row r="64" spans="14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P1"/>
    <mergeCell ref="A2:P2"/>
    <mergeCell ref="C8:G8"/>
    <mergeCell ref="H8:L8"/>
    <mergeCell ref="N8:O8"/>
    <mergeCell ref="A8:A9"/>
    <mergeCell ref="B8:B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EDC5-8042-4592-8775-F013A83C9CD7}">
  <dimension ref="A1:AA1000"/>
  <sheetViews>
    <sheetView zoomScale="60" zoomScaleNormal="60" workbookViewId="0">
      <selection sqref="A1:XFD1048576"/>
    </sheetView>
  </sheetViews>
  <sheetFormatPr defaultColWidth="14.453125" defaultRowHeight="14.5"/>
  <cols>
    <col min="1" max="1" width="8.7265625" style="38" customWidth="1"/>
    <col min="2" max="2" width="40.1796875" style="38" customWidth="1"/>
    <col min="3" max="9" width="8.7265625" style="38" customWidth="1"/>
    <col min="10" max="10" width="9.26953125" style="38" customWidth="1"/>
    <col min="11" max="12" width="8.7265625" style="38" customWidth="1"/>
    <col min="13" max="13" width="14" style="38" customWidth="1"/>
    <col min="14" max="14" width="10.7265625" style="38" customWidth="1"/>
    <col min="15" max="15" width="12.81640625" style="38" customWidth="1"/>
    <col min="16" max="16" width="38.453125" style="38" customWidth="1"/>
    <col min="17" max="22" width="8.7265625" style="38" customWidth="1"/>
    <col min="23" max="23" width="11.54296875" style="38" customWidth="1"/>
    <col min="24" max="24" width="8.7265625" style="38" customWidth="1"/>
    <col min="25" max="25" width="28.453125" style="38" customWidth="1"/>
    <col min="26" max="27" width="8.7265625" style="38" customWidth="1"/>
    <col min="28" max="16384" width="14.453125" style="38"/>
  </cols>
  <sheetData>
    <row r="1" spans="1:18" ht="14.25" customHeight="1">
      <c r="A1" s="2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1"/>
      <c r="R1" s="1"/>
    </row>
    <row r="2" spans="1:18" ht="14.25" customHeight="1">
      <c r="A2" s="2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1"/>
      <c r="R2" s="1"/>
    </row>
    <row r="3" spans="1:18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.25" customHeight="1">
      <c r="A4" s="2" t="s">
        <v>2</v>
      </c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25" customHeight="1">
      <c r="A5" s="2" t="s">
        <v>4</v>
      </c>
      <c r="B5" s="1"/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4.25" customHeight="1">
      <c r="A6" s="2" t="s">
        <v>5</v>
      </c>
      <c r="B6" s="1"/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2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 customHeight="1">
      <c r="A8" s="34" t="s">
        <v>6</v>
      </c>
      <c r="B8" s="36" t="s">
        <v>7</v>
      </c>
      <c r="C8" s="29" t="s">
        <v>8</v>
      </c>
      <c r="D8" s="30"/>
      <c r="E8" s="30"/>
      <c r="F8" s="30"/>
      <c r="G8" s="31"/>
      <c r="H8" s="32" t="s">
        <v>9</v>
      </c>
      <c r="I8" s="30"/>
      <c r="J8" s="30"/>
      <c r="K8" s="30"/>
      <c r="L8" s="31"/>
      <c r="M8" s="4" t="s">
        <v>10</v>
      </c>
      <c r="N8" s="33" t="s">
        <v>11</v>
      </c>
      <c r="O8" s="31"/>
      <c r="P8" s="3" t="s">
        <v>12</v>
      </c>
      <c r="R8" s="5" t="s">
        <v>13</v>
      </c>
    </row>
    <row r="9" spans="1:18" ht="14.25" customHeight="1">
      <c r="A9" s="35"/>
      <c r="B9" s="35"/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7" t="s">
        <v>14</v>
      </c>
      <c r="I9" s="7" t="s">
        <v>19</v>
      </c>
      <c r="J9" s="7" t="s">
        <v>16</v>
      </c>
      <c r="K9" s="7" t="s">
        <v>17</v>
      </c>
      <c r="L9" s="7" t="s">
        <v>18</v>
      </c>
      <c r="M9" s="4" t="s">
        <v>20</v>
      </c>
      <c r="N9" s="8" t="s">
        <v>21</v>
      </c>
      <c r="O9" s="8" t="s">
        <v>22</v>
      </c>
      <c r="P9" s="9"/>
      <c r="R9" s="2" t="s">
        <v>23</v>
      </c>
    </row>
    <row r="10" spans="1:18" ht="14.25" customHeight="1">
      <c r="A10" s="10">
        <v>1</v>
      </c>
      <c r="B10" s="39" t="s">
        <v>54</v>
      </c>
      <c r="C10" s="40">
        <v>95</v>
      </c>
      <c r="D10" s="41">
        <v>85</v>
      </c>
      <c r="E10" s="40"/>
      <c r="F10" s="41"/>
      <c r="G10" s="14"/>
      <c r="H10" s="40">
        <v>95</v>
      </c>
      <c r="I10" s="41">
        <v>85</v>
      </c>
      <c r="J10" s="15"/>
      <c r="K10" s="15"/>
      <c r="L10" s="15"/>
      <c r="M10" s="16">
        <v>88</v>
      </c>
      <c r="N10" s="13">
        <f t="shared" ref="N10:O37" si="0">AVERAGE(C10:G10)</f>
        <v>90</v>
      </c>
      <c r="O10" s="13">
        <f>AVERAGE(H10:L10)</f>
        <v>90</v>
      </c>
      <c r="P10" s="12">
        <f t="shared" ref="P10:P44" si="1">(M10*30/100)+(N10*35/100)+(O10*35/100)</f>
        <v>89.4</v>
      </c>
      <c r="R10" s="2" t="s">
        <v>25</v>
      </c>
    </row>
    <row r="11" spans="1:18" ht="14.25" customHeight="1">
      <c r="A11" s="10">
        <v>2</v>
      </c>
      <c r="B11" s="39" t="s">
        <v>55</v>
      </c>
      <c r="C11" s="40">
        <v>95</v>
      </c>
      <c r="D11" s="41">
        <v>85</v>
      </c>
      <c r="E11" s="40"/>
      <c r="F11" s="41"/>
      <c r="G11" s="18"/>
      <c r="H11" s="40">
        <v>95</v>
      </c>
      <c r="I11" s="41">
        <v>85</v>
      </c>
      <c r="J11" s="10"/>
      <c r="K11" s="10"/>
      <c r="L11" s="10"/>
      <c r="M11" s="19">
        <v>77</v>
      </c>
      <c r="N11" s="13">
        <f t="shared" si="0"/>
        <v>90</v>
      </c>
      <c r="O11" s="13">
        <f t="shared" si="0"/>
        <v>90</v>
      </c>
      <c r="P11" s="12">
        <f t="shared" si="1"/>
        <v>86.1</v>
      </c>
      <c r="R11" s="2" t="s">
        <v>27</v>
      </c>
    </row>
    <row r="12" spans="1:18" ht="14.25" customHeight="1">
      <c r="A12" s="10">
        <v>3</v>
      </c>
      <c r="B12" s="39" t="s">
        <v>56</v>
      </c>
      <c r="C12" s="40">
        <v>95</v>
      </c>
      <c r="D12" s="41">
        <v>85</v>
      </c>
      <c r="E12" s="40"/>
      <c r="F12" s="41"/>
      <c r="G12" s="18"/>
      <c r="H12" s="40">
        <v>95</v>
      </c>
      <c r="I12" s="41">
        <v>85</v>
      </c>
      <c r="J12" s="10"/>
      <c r="K12" s="10"/>
      <c r="L12" s="10"/>
      <c r="M12" s="19">
        <v>94</v>
      </c>
      <c r="N12" s="13">
        <f t="shared" si="0"/>
        <v>90</v>
      </c>
      <c r="O12" s="13">
        <f t="shared" si="0"/>
        <v>90</v>
      </c>
      <c r="P12" s="12">
        <f t="shared" si="1"/>
        <v>91.2</v>
      </c>
      <c r="R12" s="2" t="s">
        <v>29</v>
      </c>
    </row>
    <row r="13" spans="1:18" ht="14.25" customHeight="1">
      <c r="A13" s="10">
        <v>4</v>
      </c>
      <c r="B13" s="39" t="s">
        <v>57</v>
      </c>
      <c r="C13" s="40">
        <v>95</v>
      </c>
      <c r="D13" s="41">
        <v>85</v>
      </c>
      <c r="E13" s="40"/>
      <c r="F13" s="41"/>
      <c r="G13" s="18"/>
      <c r="H13" s="40">
        <v>95</v>
      </c>
      <c r="I13" s="41">
        <v>85</v>
      </c>
      <c r="J13" s="10"/>
      <c r="K13" s="10"/>
      <c r="L13" s="10"/>
      <c r="M13" s="19">
        <v>97</v>
      </c>
      <c r="N13" s="13">
        <f t="shared" si="0"/>
        <v>90</v>
      </c>
      <c r="O13" s="13">
        <f t="shared" si="0"/>
        <v>90</v>
      </c>
      <c r="P13" s="12">
        <f t="shared" si="1"/>
        <v>92.1</v>
      </c>
      <c r="R13" s="2" t="s">
        <v>31</v>
      </c>
    </row>
    <row r="14" spans="1:18" ht="14.25" customHeight="1">
      <c r="A14" s="10">
        <v>5</v>
      </c>
      <c r="B14" s="39" t="s">
        <v>58</v>
      </c>
      <c r="C14" s="40">
        <v>95</v>
      </c>
      <c r="D14" s="41">
        <v>85</v>
      </c>
      <c r="E14" s="40"/>
      <c r="F14" s="41"/>
      <c r="G14" s="18"/>
      <c r="H14" s="40">
        <v>95</v>
      </c>
      <c r="I14" s="41">
        <v>85</v>
      </c>
      <c r="J14" s="10"/>
      <c r="K14" s="10"/>
      <c r="L14" s="10"/>
      <c r="M14" s="19">
        <v>97</v>
      </c>
      <c r="N14" s="13">
        <f t="shared" si="0"/>
        <v>90</v>
      </c>
      <c r="O14" s="13">
        <f t="shared" si="0"/>
        <v>90</v>
      </c>
      <c r="P14" s="12">
        <f t="shared" si="1"/>
        <v>92.1</v>
      </c>
      <c r="R14" s="2" t="s">
        <v>33</v>
      </c>
    </row>
    <row r="15" spans="1:18" ht="14.25" customHeight="1">
      <c r="A15" s="10">
        <v>6</v>
      </c>
      <c r="B15" s="39" t="s">
        <v>59</v>
      </c>
      <c r="C15" s="40">
        <v>95</v>
      </c>
      <c r="D15" s="41">
        <v>85</v>
      </c>
      <c r="E15" s="40"/>
      <c r="F15" s="41"/>
      <c r="G15" s="18"/>
      <c r="H15" s="40">
        <v>95</v>
      </c>
      <c r="I15" s="41">
        <v>85</v>
      </c>
      <c r="J15" s="10"/>
      <c r="K15" s="10"/>
      <c r="L15" s="10"/>
      <c r="M15" s="19">
        <v>63</v>
      </c>
      <c r="N15" s="13">
        <f t="shared" si="0"/>
        <v>90</v>
      </c>
      <c r="O15" s="13">
        <f t="shared" si="0"/>
        <v>90</v>
      </c>
      <c r="P15" s="12">
        <f t="shared" si="1"/>
        <v>81.900000000000006</v>
      </c>
      <c r="R15" s="21"/>
    </row>
    <row r="16" spans="1:18" ht="14.25" customHeight="1">
      <c r="A16" s="10">
        <v>7</v>
      </c>
      <c r="B16" s="39" t="s">
        <v>60</v>
      </c>
      <c r="C16" s="40">
        <v>95</v>
      </c>
      <c r="D16" s="41">
        <v>85</v>
      </c>
      <c r="E16" s="40"/>
      <c r="F16" s="41"/>
      <c r="G16" s="18"/>
      <c r="H16" s="40">
        <v>95</v>
      </c>
      <c r="I16" s="41">
        <v>85</v>
      </c>
      <c r="J16" s="10"/>
      <c r="K16" s="10"/>
      <c r="L16" s="10"/>
      <c r="M16" s="19">
        <v>75</v>
      </c>
      <c r="N16" s="13">
        <f t="shared" si="0"/>
        <v>90</v>
      </c>
      <c r="O16" s="13">
        <f t="shared" si="0"/>
        <v>90</v>
      </c>
      <c r="P16" s="12">
        <f t="shared" si="1"/>
        <v>85.5</v>
      </c>
      <c r="R16" s="21"/>
    </row>
    <row r="17" spans="1:18" ht="14.25" customHeight="1">
      <c r="A17" s="10">
        <v>8</v>
      </c>
      <c r="B17" s="39" t="s">
        <v>61</v>
      </c>
      <c r="C17" s="40">
        <v>95</v>
      </c>
      <c r="D17" s="41">
        <v>85</v>
      </c>
      <c r="E17" s="40"/>
      <c r="F17" s="41"/>
      <c r="G17" s="18"/>
      <c r="H17" s="40">
        <v>95</v>
      </c>
      <c r="I17" s="41">
        <v>85</v>
      </c>
      <c r="J17" s="10"/>
      <c r="K17" s="10"/>
      <c r="L17" s="10"/>
      <c r="M17" s="19">
        <v>85</v>
      </c>
      <c r="N17" s="13">
        <f t="shared" si="0"/>
        <v>90</v>
      </c>
      <c r="O17" s="13">
        <f t="shared" si="0"/>
        <v>90</v>
      </c>
      <c r="P17" s="12">
        <f t="shared" si="1"/>
        <v>88.5</v>
      </c>
      <c r="R17" s="21"/>
    </row>
    <row r="18" spans="1:18" ht="14.25" customHeight="1">
      <c r="A18" s="10">
        <v>9</v>
      </c>
      <c r="B18" s="39" t="s">
        <v>62</v>
      </c>
      <c r="C18" s="40">
        <v>95</v>
      </c>
      <c r="D18" s="41">
        <v>85</v>
      </c>
      <c r="E18" s="40"/>
      <c r="F18" s="41"/>
      <c r="G18" s="18"/>
      <c r="H18" s="40">
        <v>95</v>
      </c>
      <c r="I18" s="41">
        <v>85</v>
      </c>
      <c r="J18" s="10"/>
      <c r="K18" s="10"/>
      <c r="L18" s="10"/>
      <c r="M18" s="19">
        <v>82</v>
      </c>
      <c r="N18" s="13">
        <f t="shared" si="0"/>
        <v>90</v>
      </c>
      <c r="O18" s="13">
        <f t="shared" si="0"/>
        <v>90</v>
      </c>
      <c r="P18" s="12">
        <f t="shared" si="1"/>
        <v>87.6</v>
      </c>
      <c r="R18" s="21"/>
    </row>
    <row r="19" spans="1:18" ht="14.25" customHeight="1">
      <c r="A19" s="10">
        <v>10</v>
      </c>
      <c r="B19" s="39" t="s">
        <v>63</v>
      </c>
      <c r="C19" s="40">
        <v>95</v>
      </c>
      <c r="D19" s="41">
        <v>85</v>
      </c>
      <c r="E19" s="40"/>
      <c r="F19" s="41"/>
      <c r="G19" s="18"/>
      <c r="H19" s="40">
        <v>95</v>
      </c>
      <c r="I19" s="41">
        <v>85</v>
      </c>
      <c r="J19" s="10"/>
      <c r="K19" s="10"/>
      <c r="L19" s="10"/>
      <c r="M19" s="19">
        <v>97</v>
      </c>
      <c r="N19" s="13">
        <f t="shared" si="0"/>
        <v>90</v>
      </c>
      <c r="O19" s="13">
        <f t="shared" si="0"/>
        <v>90</v>
      </c>
      <c r="P19" s="12">
        <f t="shared" si="1"/>
        <v>92.1</v>
      </c>
      <c r="R19" s="21"/>
    </row>
    <row r="20" spans="1:18" ht="14.25" customHeight="1">
      <c r="A20" s="10">
        <v>11</v>
      </c>
      <c r="B20" s="39" t="s">
        <v>64</v>
      </c>
      <c r="C20" s="40">
        <v>95</v>
      </c>
      <c r="D20" s="41">
        <v>85</v>
      </c>
      <c r="E20" s="40"/>
      <c r="F20" s="41"/>
      <c r="G20" s="18"/>
      <c r="H20" s="40">
        <v>95</v>
      </c>
      <c r="I20" s="41">
        <v>85</v>
      </c>
      <c r="J20" s="10"/>
      <c r="K20" s="10"/>
      <c r="L20" s="10"/>
      <c r="M20" s="19">
        <v>100</v>
      </c>
      <c r="N20" s="13">
        <f t="shared" si="0"/>
        <v>90</v>
      </c>
      <c r="O20" s="13">
        <f t="shared" si="0"/>
        <v>90</v>
      </c>
      <c r="P20" s="12">
        <f t="shared" si="1"/>
        <v>93</v>
      </c>
      <c r="R20" s="21"/>
    </row>
    <row r="21" spans="1:18" ht="14.25" customHeight="1">
      <c r="A21" s="10">
        <v>12</v>
      </c>
      <c r="B21" s="39" t="s">
        <v>65</v>
      </c>
      <c r="C21" s="40">
        <v>95</v>
      </c>
      <c r="D21" s="41">
        <v>85</v>
      </c>
      <c r="E21" s="40"/>
      <c r="F21" s="41"/>
      <c r="G21" s="18"/>
      <c r="H21" s="40">
        <v>95</v>
      </c>
      <c r="I21" s="41">
        <v>85</v>
      </c>
      <c r="J21" s="10"/>
      <c r="K21" s="10"/>
      <c r="L21" s="10"/>
      <c r="M21" s="19">
        <v>84</v>
      </c>
      <c r="N21" s="13">
        <f t="shared" si="0"/>
        <v>90</v>
      </c>
      <c r="O21" s="13">
        <f t="shared" si="0"/>
        <v>90</v>
      </c>
      <c r="P21" s="12">
        <f t="shared" si="1"/>
        <v>88.2</v>
      </c>
      <c r="R21" s="21"/>
    </row>
    <row r="22" spans="1:18" ht="14.25" customHeight="1">
      <c r="A22" s="10">
        <v>13</v>
      </c>
      <c r="B22" s="39" t="s">
        <v>66</v>
      </c>
      <c r="C22" s="40">
        <v>95</v>
      </c>
      <c r="D22" s="41">
        <v>85</v>
      </c>
      <c r="E22" s="40"/>
      <c r="F22" s="41"/>
      <c r="G22" s="18"/>
      <c r="H22" s="40">
        <v>95</v>
      </c>
      <c r="I22" s="41">
        <v>85</v>
      </c>
      <c r="J22" s="10"/>
      <c r="K22" s="10"/>
      <c r="L22" s="10"/>
      <c r="M22" s="19">
        <v>75</v>
      </c>
      <c r="N22" s="13">
        <f t="shared" si="0"/>
        <v>90</v>
      </c>
      <c r="O22" s="13">
        <f t="shared" si="0"/>
        <v>90</v>
      </c>
      <c r="P22" s="12">
        <f t="shared" si="1"/>
        <v>85.5</v>
      </c>
      <c r="R22" s="21"/>
    </row>
    <row r="23" spans="1:18" ht="14.25" customHeight="1">
      <c r="A23" s="10">
        <v>14</v>
      </c>
      <c r="B23" s="39" t="s">
        <v>67</v>
      </c>
      <c r="C23" s="40">
        <v>97</v>
      </c>
      <c r="D23" s="41">
        <v>85</v>
      </c>
      <c r="E23" s="40"/>
      <c r="F23" s="41"/>
      <c r="G23" s="18"/>
      <c r="H23" s="40">
        <v>95</v>
      </c>
      <c r="I23" s="41">
        <v>85</v>
      </c>
      <c r="J23" s="10"/>
      <c r="K23" s="10"/>
      <c r="L23" s="10"/>
      <c r="M23" s="19">
        <v>90</v>
      </c>
      <c r="N23" s="13">
        <f t="shared" si="0"/>
        <v>91</v>
      </c>
      <c r="O23" s="13">
        <f t="shared" si="0"/>
        <v>90</v>
      </c>
      <c r="P23" s="12">
        <f t="shared" si="1"/>
        <v>90.35</v>
      </c>
      <c r="R23" s="21"/>
    </row>
    <row r="24" spans="1:18" ht="14.25" customHeight="1">
      <c r="A24" s="10">
        <v>15</v>
      </c>
      <c r="B24" s="39" t="s">
        <v>68</v>
      </c>
      <c r="C24" s="40">
        <v>95</v>
      </c>
      <c r="D24" s="41">
        <v>85</v>
      </c>
      <c r="E24" s="40"/>
      <c r="F24" s="41"/>
      <c r="G24" s="18"/>
      <c r="H24" s="40">
        <v>95</v>
      </c>
      <c r="I24" s="41">
        <v>85</v>
      </c>
      <c r="J24" s="10"/>
      <c r="K24" s="10"/>
      <c r="L24" s="10"/>
      <c r="M24" s="19">
        <v>81</v>
      </c>
      <c r="N24" s="13">
        <f t="shared" si="0"/>
        <v>90</v>
      </c>
      <c r="O24" s="13">
        <f t="shared" si="0"/>
        <v>90</v>
      </c>
      <c r="P24" s="12">
        <f t="shared" si="1"/>
        <v>87.3</v>
      </c>
      <c r="R24" s="21"/>
    </row>
    <row r="25" spans="1:18" ht="14.25" customHeight="1">
      <c r="A25" s="10">
        <v>16</v>
      </c>
      <c r="B25" s="39" t="s">
        <v>69</v>
      </c>
      <c r="C25" s="40">
        <v>95</v>
      </c>
      <c r="D25" s="41">
        <v>90</v>
      </c>
      <c r="E25" s="40"/>
      <c r="F25" s="41"/>
      <c r="G25" s="18"/>
      <c r="H25" s="40">
        <v>95</v>
      </c>
      <c r="I25" s="41">
        <v>90</v>
      </c>
      <c r="J25" s="10"/>
      <c r="K25" s="10"/>
      <c r="L25" s="10"/>
      <c r="M25" s="19">
        <v>75</v>
      </c>
      <c r="N25" s="13">
        <f t="shared" si="0"/>
        <v>92.5</v>
      </c>
      <c r="O25" s="13">
        <f t="shared" si="0"/>
        <v>92.5</v>
      </c>
      <c r="P25" s="12">
        <f t="shared" si="1"/>
        <v>87.25</v>
      </c>
      <c r="R25" s="21"/>
    </row>
    <row r="26" spans="1:18" ht="14.25" customHeight="1">
      <c r="A26" s="10">
        <v>17</v>
      </c>
      <c r="B26" s="39" t="s">
        <v>70</v>
      </c>
      <c r="C26" s="40">
        <v>97</v>
      </c>
      <c r="D26" s="41">
        <v>85</v>
      </c>
      <c r="E26" s="40"/>
      <c r="F26" s="41"/>
      <c r="G26" s="18"/>
      <c r="H26" s="40">
        <v>95</v>
      </c>
      <c r="I26" s="41">
        <v>85</v>
      </c>
      <c r="J26" s="10"/>
      <c r="K26" s="10"/>
      <c r="L26" s="10"/>
      <c r="M26" s="19">
        <v>75</v>
      </c>
      <c r="N26" s="13">
        <f t="shared" si="0"/>
        <v>91</v>
      </c>
      <c r="O26" s="13">
        <f t="shared" si="0"/>
        <v>90</v>
      </c>
      <c r="P26" s="12">
        <f t="shared" si="1"/>
        <v>85.85</v>
      </c>
      <c r="R26" s="21"/>
    </row>
    <row r="27" spans="1:18" ht="14.25" customHeight="1">
      <c r="A27" s="10">
        <v>18</v>
      </c>
      <c r="B27" s="39" t="s">
        <v>71</v>
      </c>
      <c r="C27" s="40">
        <v>95</v>
      </c>
      <c r="D27" s="41">
        <v>85</v>
      </c>
      <c r="E27" s="40"/>
      <c r="F27" s="41"/>
      <c r="G27" s="18"/>
      <c r="H27" s="40">
        <v>95</v>
      </c>
      <c r="I27" s="41">
        <v>85</v>
      </c>
      <c r="J27" s="10"/>
      <c r="K27" s="10"/>
      <c r="L27" s="10"/>
      <c r="M27" s="19">
        <v>82</v>
      </c>
      <c r="N27" s="13">
        <f t="shared" si="0"/>
        <v>90</v>
      </c>
      <c r="O27" s="13">
        <f t="shared" si="0"/>
        <v>90</v>
      </c>
      <c r="P27" s="12">
        <f t="shared" si="1"/>
        <v>87.6</v>
      </c>
      <c r="R27" s="21"/>
    </row>
    <row r="28" spans="1:18" ht="14.25" customHeight="1">
      <c r="A28" s="10">
        <v>19</v>
      </c>
      <c r="B28" s="39" t="s">
        <v>72</v>
      </c>
      <c r="C28" s="40">
        <v>95</v>
      </c>
      <c r="D28" s="41">
        <v>85</v>
      </c>
      <c r="E28" s="40"/>
      <c r="F28" s="41"/>
      <c r="G28" s="18"/>
      <c r="H28" s="40">
        <v>95</v>
      </c>
      <c r="I28" s="41">
        <v>85</v>
      </c>
      <c r="J28" s="10"/>
      <c r="K28" s="10"/>
      <c r="L28" s="10"/>
      <c r="M28" s="19">
        <v>75</v>
      </c>
      <c r="N28" s="13">
        <f t="shared" si="0"/>
        <v>90</v>
      </c>
      <c r="O28" s="13">
        <f t="shared" si="0"/>
        <v>90</v>
      </c>
      <c r="P28" s="12">
        <f t="shared" si="1"/>
        <v>85.5</v>
      </c>
      <c r="R28" s="21"/>
    </row>
    <row r="29" spans="1:18" ht="14.25" customHeight="1">
      <c r="A29" s="10">
        <v>20</v>
      </c>
      <c r="B29" s="39" t="s">
        <v>73</v>
      </c>
      <c r="C29" s="40">
        <v>95</v>
      </c>
      <c r="D29" s="41">
        <v>85</v>
      </c>
      <c r="E29" s="40"/>
      <c r="F29" s="41"/>
      <c r="G29" s="18"/>
      <c r="H29" s="40">
        <v>95</v>
      </c>
      <c r="I29" s="41">
        <v>85</v>
      </c>
      <c r="J29" s="10"/>
      <c r="K29" s="10"/>
      <c r="L29" s="10"/>
      <c r="M29" s="19">
        <v>75</v>
      </c>
      <c r="N29" s="13">
        <f t="shared" si="0"/>
        <v>90</v>
      </c>
      <c r="O29" s="13">
        <f t="shared" si="0"/>
        <v>90</v>
      </c>
      <c r="P29" s="12">
        <f t="shared" si="1"/>
        <v>85.5</v>
      </c>
      <c r="R29" s="21"/>
    </row>
    <row r="30" spans="1:18" ht="14.25" customHeight="1">
      <c r="A30" s="10">
        <v>21</v>
      </c>
      <c r="B30" s="39" t="s">
        <v>74</v>
      </c>
      <c r="C30" s="40">
        <v>95</v>
      </c>
      <c r="D30" s="41">
        <v>85</v>
      </c>
      <c r="E30" s="40"/>
      <c r="F30" s="41"/>
      <c r="G30" s="18"/>
      <c r="H30" s="40">
        <v>95</v>
      </c>
      <c r="I30" s="41">
        <v>85</v>
      </c>
      <c r="J30" s="10"/>
      <c r="K30" s="10"/>
      <c r="L30" s="10"/>
      <c r="M30" s="19">
        <v>75</v>
      </c>
      <c r="N30" s="13">
        <f t="shared" si="0"/>
        <v>90</v>
      </c>
      <c r="O30" s="13">
        <f t="shared" si="0"/>
        <v>90</v>
      </c>
      <c r="P30" s="12">
        <f t="shared" si="1"/>
        <v>85.5</v>
      </c>
      <c r="R30" s="21"/>
    </row>
    <row r="31" spans="1:18" ht="14.25" customHeight="1">
      <c r="A31" s="10">
        <v>22</v>
      </c>
      <c r="B31" s="39"/>
      <c r="C31" s="40">
        <v>95</v>
      </c>
      <c r="D31" s="41">
        <v>85</v>
      </c>
      <c r="E31" s="40"/>
      <c r="F31" s="41"/>
      <c r="G31" s="18"/>
      <c r="H31" s="40">
        <v>95</v>
      </c>
      <c r="I31" s="41">
        <v>85</v>
      </c>
      <c r="J31" s="10"/>
      <c r="K31" s="10"/>
      <c r="L31" s="10"/>
      <c r="M31" s="19">
        <v>75</v>
      </c>
      <c r="N31" s="13">
        <f t="shared" si="0"/>
        <v>90</v>
      </c>
      <c r="O31" s="13">
        <f t="shared" si="0"/>
        <v>90</v>
      </c>
      <c r="P31" s="12">
        <f t="shared" si="1"/>
        <v>85.5</v>
      </c>
      <c r="R31" s="21"/>
    </row>
    <row r="32" spans="1:18" ht="14.25" customHeight="1">
      <c r="A32" s="10">
        <v>23</v>
      </c>
      <c r="B32" s="39"/>
      <c r="C32" s="12"/>
      <c r="D32" s="10"/>
      <c r="E32" s="12"/>
      <c r="F32" s="18"/>
      <c r="G32" s="18"/>
      <c r="H32" s="12"/>
      <c r="I32" s="10"/>
      <c r="J32" s="10"/>
      <c r="K32" s="10"/>
      <c r="L32" s="10"/>
      <c r="M32" s="19"/>
      <c r="N32" s="13" t="e">
        <f t="shared" si="0"/>
        <v>#DIV/0!</v>
      </c>
      <c r="O32" s="13" t="e">
        <f t="shared" si="0"/>
        <v>#DIV/0!</v>
      </c>
      <c r="P32" s="12" t="e">
        <f t="shared" si="1"/>
        <v>#DIV/0!</v>
      </c>
      <c r="R32" s="21"/>
    </row>
    <row r="33" spans="1:27" ht="14.25" customHeight="1">
      <c r="A33" s="10">
        <v>24</v>
      </c>
      <c r="B33" s="39"/>
      <c r="C33" s="12"/>
      <c r="D33" s="10"/>
      <c r="E33" s="12"/>
      <c r="F33" s="18"/>
      <c r="G33" s="18"/>
      <c r="H33" s="12"/>
      <c r="I33" s="10"/>
      <c r="J33" s="10"/>
      <c r="K33" s="10"/>
      <c r="L33" s="10"/>
      <c r="M33" s="19"/>
      <c r="N33" s="13" t="e">
        <f t="shared" si="0"/>
        <v>#DIV/0!</v>
      </c>
      <c r="O33" s="13" t="e">
        <f t="shared" si="0"/>
        <v>#DIV/0!</v>
      </c>
      <c r="P33" s="12" t="e">
        <f t="shared" si="1"/>
        <v>#DIV/0!</v>
      </c>
      <c r="R33" s="21"/>
    </row>
    <row r="34" spans="1:27" ht="14.25" customHeight="1">
      <c r="A34" s="10">
        <v>25</v>
      </c>
      <c r="B34" s="39"/>
      <c r="C34" s="12"/>
      <c r="D34" s="10"/>
      <c r="E34" s="12"/>
      <c r="F34" s="18"/>
      <c r="G34" s="18"/>
      <c r="H34" s="12"/>
      <c r="I34" s="10"/>
      <c r="J34" s="10"/>
      <c r="K34" s="10"/>
      <c r="L34" s="10"/>
      <c r="M34" s="19"/>
      <c r="N34" s="13" t="e">
        <f t="shared" si="0"/>
        <v>#DIV/0!</v>
      </c>
      <c r="O34" s="13" t="e">
        <f t="shared" si="0"/>
        <v>#DIV/0!</v>
      </c>
      <c r="P34" s="12" t="e">
        <f t="shared" si="1"/>
        <v>#DIV/0!</v>
      </c>
      <c r="R34" s="21"/>
    </row>
    <row r="35" spans="1:27" ht="14.25" customHeight="1">
      <c r="A35" s="10">
        <v>26</v>
      </c>
      <c r="B35" s="39"/>
      <c r="C35" s="12"/>
      <c r="D35" s="10"/>
      <c r="E35" s="12"/>
      <c r="F35" s="18"/>
      <c r="G35" s="18"/>
      <c r="H35" s="12"/>
      <c r="I35" s="10"/>
      <c r="J35" s="10"/>
      <c r="K35" s="22"/>
      <c r="L35" s="22"/>
      <c r="M35" s="19"/>
      <c r="N35" s="13" t="e">
        <f t="shared" si="0"/>
        <v>#DIV/0!</v>
      </c>
      <c r="O35" s="13" t="e">
        <f t="shared" si="0"/>
        <v>#DIV/0!</v>
      </c>
      <c r="P35" s="12" t="e">
        <f t="shared" si="1"/>
        <v>#DIV/0!</v>
      </c>
      <c r="R35" s="21"/>
    </row>
    <row r="36" spans="1:27" ht="14.25" customHeight="1">
      <c r="A36" s="10">
        <v>27</v>
      </c>
      <c r="B36" s="39"/>
      <c r="C36" s="12"/>
      <c r="D36" s="10"/>
      <c r="E36" s="12"/>
      <c r="F36" s="18"/>
      <c r="G36" s="18"/>
      <c r="H36" s="12"/>
      <c r="I36" s="10"/>
      <c r="J36" s="10"/>
      <c r="K36" s="10"/>
      <c r="L36" s="10"/>
      <c r="M36" s="19"/>
      <c r="N36" s="13" t="e">
        <f t="shared" si="0"/>
        <v>#DIV/0!</v>
      </c>
      <c r="O36" s="13" t="e">
        <f t="shared" si="0"/>
        <v>#DIV/0!</v>
      </c>
      <c r="P36" s="12" t="e">
        <f t="shared" si="1"/>
        <v>#DIV/0!</v>
      </c>
      <c r="R36" s="21"/>
    </row>
    <row r="37" spans="1:27" ht="14.25" customHeight="1">
      <c r="A37" s="10">
        <v>28</v>
      </c>
      <c r="B37" s="39"/>
      <c r="C37" s="12"/>
      <c r="D37" s="10"/>
      <c r="E37" s="12"/>
      <c r="F37" s="18"/>
      <c r="G37" s="18"/>
      <c r="H37" s="12"/>
      <c r="I37" s="10"/>
      <c r="J37" s="10"/>
      <c r="K37" s="10"/>
      <c r="L37" s="10"/>
      <c r="M37" s="19"/>
      <c r="N37" s="13" t="e">
        <f t="shared" si="0"/>
        <v>#DIV/0!</v>
      </c>
      <c r="O37" s="13" t="e">
        <f t="shared" si="0"/>
        <v>#DIV/0!</v>
      </c>
      <c r="P37" s="12" t="e">
        <f t="shared" si="1"/>
        <v>#DIV/0!</v>
      </c>
      <c r="R37" s="21"/>
    </row>
    <row r="38" spans="1:27" ht="14.25" customHeight="1">
      <c r="A38" s="10">
        <v>29</v>
      </c>
      <c r="B38" s="17"/>
      <c r="C38" s="10"/>
      <c r="D38" s="10"/>
      <c r="E38" s="10"/>
      <c r="F38" s="18"/>
      <c r="G38" s="18"/>
      <c r="H38" s="10"/>
      <c r="I38" s="10"/>
      <c r="J38" s="10"/>
      <c r="K38" s="10"/>
      <c r="L38" s="10"/>
      <c r="M38" s="19"/>
      <c r="N38" s="13"/>
      <c r="O38" s="13"/>
      <c r="P38" s="12">
        <f t="shared" si="1"/>
        <v>0</v>
      </c>
      <c r="R38" s="21"/>
    </row>
    <row r="39" spans="1:27" ht="14.25" customHeight="1">
      <c r="A39" s="10">
        <v>30</v>
      </c>
      <c r="B39" s="23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3"/>
      <c r="O39" s="13"/>
      <c r="P39" s="12">
        <f t="shared" si="1"/>
        <v>0</v>
      </c>
      <c r="Q39" s="1"/>
      <c r="R39" s="1"/>
      <c r="X39" s="42"/>
      <c r="AA39" s="42"/>
    </row>
    <row r="40" spans="1:27" ht="14.25" customHeight="1">
      <c r="A40" s="10">
        <v>31</v>
      </c>
      <c r="B40" s="23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3"/>
      <c r="O40" s="13"/>
      <c r="P40" s="12">
        <f t="shared" si="1"/>
        <v>0</v>
      </c>
      <c r="Q40" s="1"/>
      <c r="R40" s="1"/>
    </row>
    <row r="41" spans="1:27" ht="14.25" customHeight="1">
      <c r="A41" s="10">
        <v>32</v>
      </c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3"/>
      <c r="O41" s="13"/>
      <c r="P41" s="12">
        <f t="shared" si="1"/>
        <v>0</v>
      </c>
      <c r="Q41" s="1"/>
      <c r="R41" s="1"/>
    </row>
    <row r="42" spans="1:27" ht="14.25" customHeight="1">
      <c r="A42" s="10">
        <v>33</v>
      </c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19"/>
      <c r="O42" s="26"/>
      <c r="P42" s="12">
        <f t="shared" si="1"/>
        <v>0</v>
      </c>
      <c r="Q42" s="1"/>
      <c r="R42" s="1"/>
    </row>
    <row r="43" spans="1:27" ht="14.25" customHeight="1">
      <c r="A43" s="10">
        <v>34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19"/>
      <c r="O43" s="26"/>
      <c r="P43" s="12">
        <f t="shared" si="1"/>
        <v>0</v>
      </c>
      <c r="Q43" s="1"/>
      <c r="R43" s="1"/>
    </row>
    <row r="44" spans="1:27" ht="14.25" customHeight="1">
      <c r="A44" s="10">
        <v>35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19"/>
      <c r="O44" s="26"/>
      <c r="P44" s="12">
        <f t="shared" si="1"/>
        <v>0</v>
      </c>
      <c r="Q44" s="1"/>
      <c r="R44" s="1"/>
    </row>
    <row r="45" spans="1:27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</row>
    <row r="46" spans="1:27" ht="14.25" customHeight="1"/>
    <row r="47" spans="1:27" ht="14.25" customHeight="1">
      <c r="N47" s="2" t="s">
        <v>51</v>
      </c>
    </row>
    <row r="48" spans="1:27" ht="14.25" customHeight="1">
      <c r="N48" s="2" t="s">
        <v>52</v>
      </c>
    </row>
    <row r="49" spans="14:14" ht="14.25" customHeight="1">
      <c r="N49" s="2"/>
    </row>
    <row r="50" spans="14:14" ht="14.25" customHeight="1">
      <c r="N50" s="2"/>
    </row>
    <row r="51" spans="14:14" ht="14.25" customHeight="1">
      <c r="N51" s="2" t="s">
        <v>53</v>
      </c>
    </row>
    <row r="52" spans="14:14" ht="14.25" customHeight="1"/>
    <row r="53" spans="14:14" ht="14.25" customHeight="1"/>
    <row r="54" spans="14:14" ht="14.25" customHeight="1"/>
    <row r="55" spans="14:14" ht="14.25" customHeight="1"/>
    <row r="56" spans="14:14" ht="14.25" customHeight="1"/>
    <row r="57" spans="14:14" ht="14.25" customHeight="1"/>
    <row r="58" spans="14:14" ht="14.25" customHeight="1"/>
    <row r="59" spans="14:14" ht="14.25" customHeight="1"/>
    <row r="60" spans="14:14" ht="14.25" customHeight="1"/>
    <row r="61" spans="14:14" ht="14.25" customHeight="1"/>
    <row r="62" spans="14:14" ht="14.25" customHeight="1"/>
    <row r="63" spans="14:14" ht="14.25" customHeight="1"/>
    <row r="64" spans="14:14" ht="14.25" customHeight="1"/>
    <row r="65" s="38" customFormat="1" ht="14.25" customHeight="1"/>
    <row r="66" s="38" customFormat="1" ht="14.25" customHeight="1"/>
    <row r="67" s="38" customFormat="1" ht="14.25" customHeight="1"/>
    <row r="68" s="38" customFormat="1" ht="14.25" customHeight="1"/>
    <row r="69" s="38" customFormat="1" ht="14.25" customHeight="1"/>
    <row r="70" s="38" customFormat="1" ht="14.25" customHeight="1"/>
    <row r="71" s="38" customFormat="1" ht="14.25" customHeight="1"/>
    <row r="72" s="38" customFormat="1" ht="14.25" customHeight="1"/>
    <row r="73" s="38" customFormat="1" ht="14.25" customHeight="1"/>
    <row r="74" s="38" customFormat="1" ht="14.25" customHeight="1"/>
    <row r="75" s="38" customFormat="1" ht="14.25" customHeight="1"/>
    <row r="76" s="38" customFormat="1" ht="14.25" customHeight="1"/>
    <row r="77" s="38" customFormat="1" ht="14.25" customHeight="1"/>
    <row r="78" s="38" customFormat="1" ht="14.25" customHeight="1"/>
    <row r="79" s="38" customFormat="1" ht="14.25" customHeight="1"/>
    <row r="80" s="38" customFormat="1" ht="14.25" customHeight="1"/>
    <row r="81" s="38" customFormat="1" ht="14.25" customHeight="1"/>
    <row r="82" s="38" customFormat="1" ht="14.25" customHeight="1"/>
    <row r="83" s="38" customFormat="1" ht="14.25" customHeight="1"/>
    <row r="84" s="38" customFormat="1" ht="14.25" customHeight="1"/>
    <row r="85" s="38" customFormat="1" ht="14.25" customHeight="1"/>
    <row r="86" s="38" customFormat="1" ht="14.25" customHeight="1"/>
    <row r="87" s="38" customFormat="1" ht="14.25" customHeight="1"/>
    <row r="88" s="38" customFormat="1" ht="14.25" customHeight="1"/>
    <row r="89" s="38" customFormat="1" ht="14.25" customHeight="1"/>
    <row r="90" s="38" customFormat="1" ht="14.25" customHeight="1"/>
    <row r="91" s="38" customFormat="1" ht="14.25" customHeight="1"/>
    <row r="92" s="38" customFormat="1" ht="14.25" customHeight="1"/>
    <row r="93" s="38" customFormat="1" ht="14.25" customHeight="1"/>
    <row r="94" s="38" customFormat="1" ht="14.25" customHeight="1"/>
    <row r="95" s="38" customFormat="1" ht="14.25" customHeight="1"/>
    <row r="96" s="38" customFormat="1" ht="14.25" customHeight="1"/>
    <row r="97" s="38" customFormat="1" ht="14.25" customHeight="1"/>
    <row r="98" s="38" customFormat="1" ht="14.25" customHeight="1"/>
    <row r="99" s="38" customFormat="1" ht="14.25" customHeight="1"/>
    <row r="100" s="38" customFormat="1" ht="14.25" customHeight="1"/>
    <row r="101" s="38" customFormat="1" ht="14.25" customHeight="1"/>
    <row r="102" s="38" customFormat="1" ht="14.25" customHeight="1"/>
    <row r="103" s="38" customFormat="1" ht="14.25" customHeight="1"/>
    <row r="104" s="38" customFormat="1" ht="14.25" customHeight="1"/>
    <row r="105" s="38" customFormat="1" ht="14.25" customHeight="1"/>
    <row r="106" s="38" customFormat="1" ht="14.25" customHeight="1"/>
    <row r="107" s="38" customFormat="1" ht="14.25" customHeight="1"/>
    <row r="108" s="38" customFormat="1" ht="14.25" customHeight="1"/>
    <row r="109" s="38" customFormat="1" ht="14.25" customHeight="1"/>
    <row r="110" s="38" customFormat="1" ht="14.25" customHeight="1"/>
    <row r="111" s="38" customFormat="1" ht="14.25" customHeight="1"/>
    <row r="112" s="38" customFormat="1" ht="14.25" customHeight="1"/>
    <row r="113" s="38" customFormat="1" ht="14.25" customHeight="1"/>
    <row r="114" s="38" customFormat="1" ht="14.25" customHeight="1"/>
    <row r="115" s="38" customFormat="1" ht="14.25" customHeight="1"/>
    <row r="116" s="38" customFormat="1" ht="14.25" customHeight="1"/>
    <row r="117" s="38" customFormat="1" ht="14.25" customHeight="1"/>
    <row r="118" s="38" customFormat="1" ht="14.25" customHeight="1"/>
    <row r="119" s="38" customFormat="1" ht="14.25" customHeight="1"/>
    <row r="120" s="38" customFormat="1" ht="14.25" customHeight="1"/>
    <row r="121" s="38" customFormat="1" ht="14.25" customHeight="1"/>
    <row r="122" s="38" customFormat="1" ht="14.25" customHeight="1"/>
    <row r="123" s="38" customFormat="1" ht="14.25" customHeight="1"/>
    <row r="124" s="38" customFormat="1" ht="14.25" customHeight="1"/>
    <row r="125" s="38" customFormat="1" ht="14.25" customHeight="1"/>
    <row r="126" s="38" customFormat="1" ht="14.25" customHeight="1"/>
    <row r="127" s="38" customFormat="1" ht="14.25" customHeight="1"/>
    <row r="128" s="38" customFormat="1" ht="14.25" customHeight="1"/>
    <row r="129" s="38" customFormat="1" ht="14.25" customHeight="1"/>
    <row r="130" s="38" customFormat="1" ht="14.25" customHeight="1"/>
    <row r="131" s="38" customFormat="1" ht="14.25" customHeight="1"/>
    <row r="132" s="38" customFormat="1" ht="14.25" customHeight="1"/>
    <row r="133" s="38" customFormat="1" ht="14.25" customHeight="1"/>
    <row r="134" s="38" customFormat="1" ht="14.25" customHeight="1"/>
    <row r="135" s="38" customFormat="1" ht="14.25" customHeight="1"/>
    <row r="136" s="38" customFormat="1" ht="14.25" customHeight="1"/>
    <row r="137" s="38" customFormat="1" ht="14.25" customHeight="1"/>
    <row r="138" s="38" customFormat="1" ht="14.25" customHeight="1"/>
    <row r="139" s="38" customFormat="1" ht="14.25" customHeight="1"/>
    <row r="140" s="38" customFormat="1" ht="14.25" customHeight="1"/>
    <row r="141" s="38" customFormat="1" ht="14.25" customHeight="1"/>
    <row r="142" s="38" customFormat="1" ht="14.25" customHeight="1"/>
    <row r="143" s="38" customFormat="1" ht="14.25" customHeight="1"/>
    <row r="144" s="38" customFormat="1" ht="14.25" customHeight="1"/>
    <row r="145" s="38" customFormat="1" ht="14.25" customHeight="1"/>
    <row r="146" s="38" customFormat="1" ht="14.25" customHeight="1"/>
    <row r="147" s="38" customFormat="1" ht="14.25" customHeight="1"/>
    <row r="148" s="38" customFormat="1" ht="14.25" customHeight="1"/>
    <row r="149" s="38" customFormat="1" ht="14.25" customHeight="1"/>
    <row r="150" s="38" customFormat="1" ht="14.25" customHeight="1"/>
    <row r="151" s="38" customFormat="1" ht="14.25" customHeight="1"/>
    <row r="152" s="38" customFormat="1" ht="14.25" customHeight="1"/>
    <row r="153" s="38" customFormat="1" ht="14.25" customHeight="1"/>
    <row r="154" s="38" customFormat="1" ht="14.25" customHeight="1"/>
    <row r="155" s="38" customFormat="1" ht="14.25" customHeight="1"/>
    <row r="156" s="38" customFormat="1" ht="14.25" customHeight="1"/>
    <row r="157" s="38" customFormat="1" ht="14.25" customHeight="1"/>
    <row r="158" s="38" customFormat="1" ht="14.25" customHeight="1"/>
    <row r="159" s="38" customFormat="1" ht="14.25" customHeight="1"/>
    <row r="160" s="38" customFormat="1" ht="14.25" customHeight="1"/>
    <row r="161" s="38" customFormat="1" ht="14.25" customHeight="1"/>
    <row r="162" s="38" customFormat="1" ht="14.25" customHeight="1"/>
    <row r="163" s="38" customFormat="1" ht="14.25" customHeight="1"/>
    <row r="164" s="38" customFormat="1" ht="14.25" customHeight="1"/>
    <row r="165" s="38" customFormat="1" ht="14.25" customHeight="1"/>
    <row r="166" s="38" customFormat="1" ht="14.25" customHeight="1"/>
    <row r="167" s="38" customFormat="1" ht="14.25" customHeight="1"/>
    <row r="168" s="38" customFormat="1" ht="14.25" customHeight="1"/>
    <row r="169" s="38" customFormat="1" ht="14.25" customHeight="1"/>
    <row r="170" s="38" customFormat="1" ht="14.25" customHeight="1"/>
    <row r="171" s="38" customFormat="1" ht="14.25" customHeight="1"/>
    <row r="172" s="38" customFormat="1" ht="14.25" customHeight="1"/>
    <row r="173" s="38" customFormat="1" ht="14.25" customHeight="1"/>
    <row r="174" s="38" customFormat="1" ht="14.25" customHeight="1"/>
    <row r="175" s="38" customFormat="1" ht="14.25" customHeight="1"/>
    <row r="176" s="38" customFormat="1" ht="14.25" customHeight="1"/>
    <row r="177" s="38" customFormat="1" ht="14.25" customHeight="1"/>
    <row r="178" s="38" customFormat="1" ht="14.25" customHeight="1"/>
    <row r="179" s="38" customFormat="1" ht="14.25" customHeight="1"/>
    <row r="180" s="38" customFormat="1" ht="14.25" customHeight="1"/>
    <row r="181" s="38" customFormat="1" ht="14.25" customHeight="1"/>
    <row r="182" s="38" customFormat="1" ht="14.25" customHeight="1"/>
    <row r="183" s="38" customFormat="1" ht="14.25" customHeight="1"/>
    <row r="184" s="38" customFormat="1" ht="14.25" customHeight="1"/>
    <row r="185" s="38" customFormat="1" ht="14.25" customHeight="1"/>
    <row r="186" s="38" customFormat="1" ht="14.25" customHeight="1"/>
    <row r="187" s="38" customFormat="1" ht="14.25" customHeight="1"/>
    <row r="188" s="38" customFormat="1" ht="14.25" customHeight="1"/>
    <row r="189" s="38" customFormat="1" ht="14.25" customHeight="1"/>
    <row r="190" s="38" customFormat="1" ht="14.25" customHeight="1"/>
    <row r="191" s="38" customFormat="1" ht="14.25" customHeight="1"/>
    <row r="192" s="38" customFormat="1" ht="14.25" customHeight="1"/>
    <row r="193" s="38" customFormat="1" ht="14.25" customHeight="1"/>
    <row r="194" s="38" customFormat="1" ht="14.25" customHeight="1"/>
    <row r="195" s="38" customFormat="1" ht="14.25" customHeight="1"/>
    <row r="196" s="38" customFormat="1" ht="14.25" customHeight="1"/>
    <row r="197" s="38" customFormat="1" ht="14.25" customHeight="1"/>
    <row r="198" s="38" customFormat="1" ht="14.25" customHeight="1"/>
    <row r="199" s="38" customFormat="1" ht="14.25" customHeight="1"/>
    <row r="200" s="38" customFormat="1" ht="14.25" customHeight="1"/>
    <row r="201" s="38" customFormat="1" ht="14.25" customHeight="1"/>
    <row r="202" s="38" customFormat="1" ht="14.25" customHeight="1"/>
    <row r="203" s="38" customFormat="1" ht="14.25" customHeight="1"/>
    <row r="204" s="38" customFormat="1" ht="14.25" customHeight="1"/>
    <row r="205" s="38" customFormat="1" ht="14.25" customHeight="1"/>
    <row r="206" s="38" customFormat="1" ht="14.25" customHeight="1"/>
    <row r="207" s="38" customFormat="1" ht="14.25" customHeight="1"/>
    <row r="208" s="38" customFormat="1" ht="14.25" customHeight="1"/>
    <row r="209" s="38" customFormat="1" ht="14.25" customHeight="1"/>
    <row r="210" s="38" customFormat="1" ht="14.25" customHeight="1"/>
    <row r="211" s="38" customFormat="1" ht="14.25" customHeight="1"/>
    <row r="212" s="38" customFormat="1" ht="14.25" customHeight="1"/>
    <row r="213" s="38" customFormat="1" ht="14.25" customHeight="1"/>
    <row r="214" s="38" customFormat="1" ht="14.25" customHeight="1"/>
    <row r="215" s="38" customFormat="1" ht="14.25" customHeight="1"/>
    <row r="216" s="38" customFormat="1" ht="14.25" customHeight="1"/>
    <row r="217" s="38" customFormat="1" ht="14.25" customHeight="1"/>
    <row r="218" s="38" customFormat="1" ht="14.25" customHeight="1"/>
    <row r="219" s="38" customFormat="1" ht="14.25" customHeight="1"/>
    <row r="220" s="38" customFormat="1" ht="14.25" customHeight="1"/>
    <row r="221" s="38" customFormat="1" ht="14.25" customHeight="1"/>
    <row r="222" s="38" customFormat="1" ht="14.25" customHeight="1"/>
    <row r="223" s="38" customFormat="1" ht="14.25" customHeight="1"/>
    <row r="224" s="38" customFormat="1" ht="14.25" customHeight="1"/>
    <row r="225" s="38" customFormat="1" ht="14.25" customHeight="1"/>
    <row r="226" s="38" customFormat="1" ht="14.25" customHeight="1"/>
    <row r="227" s="38" customFormat="1" ht="14.25" customHeight="1"/>
    <row r="228" s="38" customFormat="1" ht="14.25" customHeight="1"/>
    <row r="229" s="38" customFormat="1" ht="14.25" customHeight="1"/>
    <row r="230" s="38" customFormat="1" ht="14.25" customHeight="1"/>
    <row r="231" s="38" customFormat="1" ht="14.25" customHeight="1"/>
    <row r="232" s="38" customFormat="1" ht="14.25" customHeight="1"/>
    <row r="233" s="38" customFormat="1" ht="14.25" customHeight="1"/>
    <row r="234" s="38" customFormat="1" ht="14.25" customHeight="1"/>
    <row r="235" s="38" customFormat="1" ht="14.25" customHeight="1"/>
    <row r="236" s="38" customFormat="1" ht="14.25" customHeight="1"/>
    <row r="237" s="38" customFormat="1" ht="14.25" customHeight="1"/>
    <row r="238" s="38" customFormat="1" ht="14.25" customHeight="1"/>
    <row r="239" s="38" customFormat="1" ht="14.25" customHeight="1"/>
    <row r="240" s="38" customFormat="1" ht="14.25" customHeight="1"/>
    <row r="241" s="38" customFormat="1" ht="14.25" customHeight="1"/>
    <row r="242" s="38" customFormat="1" ht="14.25" customHeight="1"/>
    <row r="243" s="38" customFormat="1" ht="14.25" customHeight="1"/>
    <row r="244" s="38" customFormat="1" ht="14.25" customHeight="1"/>
    <row r="245" s="38" customFormat="1" ht="14.25" customHeight="1"/>
    <row r="246" s="38" customFormat="1" ht="14.25" customHeight="1"/>
    <row r="247" s="38" customFormat="1" ht="14.25" customHeight="1"/>
    <row r="248" s="38" customFormat="1" ht="14.25" customHeight="1"/>
    <row r="249" s="38" customFormat="1" ht="14.25" customHeight="1"/>
    <row r="250" s="38" customFormat="1" ht="14.25" customHeight="1"/>
    <row r="251" s="38" customFormat="1" ht="14.25" customHeight="1"/>
    <row r="252" s="38" customFormat="1" ht="14.25" customHeight="1"/>
    <row r="253" s="38" customFormat="1" ht="14.25" customHeight="1"/>
    <row r="254" s="38" customFormat="1" ht="14.25" customHeight="1"/>
    <row r="255" s="38" customFormat="1" ht="14.25" customHeight="1"/>
    <row r="256" s="38" customFormat="1" ht="14.25" customHeight="1"/>
    <row r="257" s="38" customFormat="1" ht="14.25" customHeight="1"/>
    <row r="258" s="38" customFormat="1" ht="14.25" customHeight="1"/>
    <row r="259" s="38" customFormat="1" ht="14.25" customHeight="1"/>
    <row r="260" s="38" customFormat="1" ht="14.25" customHeight="1"/>
    <row r="261" s="38" customFormat="1" ht="14.25" customHeight="1"/>
    <row r="262" s="38" customFormat="1" ht="14.25" customHeight="1"/>
    <row r="263" s="38" customFormat="1" ht="14.25" customHeight="1"/>
    <row r="264" s="38" customFormat="1" ht="14.25" customHeight="1"/>
    <row r="265" s="38" customFormat="1" ht="14.25" customHeight="1"/>
    <row r="266" s="38" customFormat="1" ht="14.25" customHeight="1"/>
    <row r="267" s="38" customFormat="1" ht="14.25" customHeight="1"/>
    <row r="268" s="38" customFormat="1" ht="14.25" customHeight="1"/>
    <row r="269" s="38" customFormat="1" ht="14.25" customHeight="1"/>
    <row r="270" s="38" customFormat="1" ht="14.25" customHeight="1"/>
    <row r="271" s="38" customFormat="1" ht="14.25" customHeight="1"/>
    <row r="272" s="38" customFormat="1" ht="14.25" customHeight="1"/>
    <row r="273" s="38" customFormat="1" ht="14.25" customHeight="1"/>
    <row r="274" s="38" customFormat="1" ht="14.25" customHeight="1"/>
    <row r="275" s="38" customFormat="1" ht="14.25" customHeight="1"/>
    <row r="276" s="38" customFormat="1" ht="14.25" customHeight="1"/>
    <row r="277" s="38" customFormat="1" ht="14.25" customHeight="1"/>
    <row r="278" s="38" customFormat="1" ht="14.25" customHeight="1"/>
    <row r="279" s="38" customFormat="1" ht="14.25" customHeight="1"/>
    <row r="280" s="38" customFormat="1" ht="14.25" customHeight="1"/>
    <row r="281" s="38" customFormat="1" ht="14.25" customHeight="1"/>
    <row r="282" s="38" customFormat="1" ht="14.25" customHeight="1"/>
    <row r="283" s="38" customFormat="1" ht="14.25" customHeight="1"/>
    <row r="284" s="38" customFormat="1" ht="14.25" customHeight="1"/>
    <row r="285" s="38" customFormat="1" ht="14.25" customHeight="1"/>
    <row r="286" s="38" customFormat="1" ht="14.25" customHeight="1"/>
    <row r="287" s="38" customFormat="1" ht="14.25" customHeight="1"/>
    <row r="288" s="38" customFormat="1" ht="14.25" customHeight="1"/>
    <row r="289" s="38" customFormat="1" ht="14.25" customHeight="1"/>
    <row r="290" s="38" customFormat="1" ht="14.25" customHeight="1"/>
    <row r="291" s="38" customFormat="1" ht="14.25" customHeight="1"/>
    <row r="292" s="38" customFormat="1" ht="14.25" customHeight="1"/>
    <row r="293" s="38" customFormat="1" ht="14.25" customHeight="1"/>
    <row r="294" s="38" customFormat="1" ht="14.25" customHeight="1"/>
    <row r="295" s="38" customFormat="1" ht="14.25" customHeight="1"/>
    <row r="296" s="38" customFormat="1" ht="14.25" customHeight="1"/>
    <row r="297" s="38" customFormat="1" ht="14.25" customHeight="1"/>
    <row r="298" s="38" customFormat="1" ht="14.25" customHeight="1"/>
    <row r="299" s="38" customFormat="1" ht="14.25" customHeight="1"/>
    <row r="300" s="38" customFormat="1" ht="14.25" customHeight="1"/>
    <row r="301" s="38" customFormat="1" ht="14.25" customHeight="1"/>
    <row r="302" s="38" customFormat="1" ht="14.25" customHeight="1"/>
    <row r="303" s="38" customFormat="1" ht="14.25" customHeight="1"/>
    <row r="304" s="38" customFormat="1" ht="14.25" customHeight="1"/>
    <row r="305" s="38" customFormat="1" ht="14.25" customHeight="1"/>
    <row r="306" s="38" customFormat="1" ht="14.25" customHeight="1"/>
    <row r="307" s="38" customFormat="1" ht="14.25" customHeight="1"/>
    <row r="308" s="38" customFormat="1" ht="14.25" customHeight="1"/>
    <row r="309" s="38" customFormat="1" ht="14.25" customHeight="1"/>
    <row r="310" s="38" customFormat="1" ht="14.25" customHeight="1"/>
    <row r="311" s="38" customFormat="1" ht="14.25" customHeight="1"/>
    <row r="312" s="38" customFormat="1" ht="14.25" customHeight="1"/>
    <row r="313" s="38" customFormat="1" ht="14.25" customHeight="1"/>
    <row r="314" s="38" customFormat="1" ht="14.25" customHeight="1"/>
    <row r="315" s="38" customFormat="1" ht="14.25" customHeight="1"/>
    <row r="316" s="38" customFormat="1" ht="14.25" customHeight="1"/>
    <row r="317" s="38" customFormat="1" ht="14.25" customHeight="1"/>
    <row r="318" s="38" customFormat="1" ht="14.25" customHeight="1"/>
    <row r="319" s="38" customFormat="1" ht="14.25" customHeight="1"/>
    <row r="320" s="38" customFormat="1" ht="14.25" customHeight="1"/>
    <row r="321" s="38" customFormat="1" ht="14.25" customHeight="1"/>
    <row r="322" s="38" customFormat="1" ht="14.25" customHeight="1"/>
    <row r="323" s="38" customFormat="1" ht="14.25" customHeight="1"/>
    <row r="324" s="38" customFormat="1" ht="14.25" customHeight="1"/>
    <row r="325" s="38" customFormat="1" ht="14.25" customHeight="1"/>
    <row r="326" s="38" customFormat="1" ht="14.25" customHeight="1"/>
    <row r="327" s="38" customFormat="1" ht="14.25" customHeight="1"/>
    <row r="328" s="38" customFormat="1" ht="14.25" customHeight="1"/>
    <row r="329" s="38" customFormat="1" ht="14.25" customHeight="1"/>
    <row r="330" s="38" customFormat="1" ht="14.25" customHeight="1"/>
    <row r="331" s="38" customFormat="1" ht="14.25" customHeight="1"/>
    <row r="332" s="38" customFormat="1" ht="14.25" customHeight="1"/>
    <row r="333" s="38" customFormat="1" ht="14.25" customHeight="1"/>
    <row r="334" s="38" customFormat="1" ht="14.25" customHeight="1"/>
    <row r="335" s="38" customFormat="1" ht="14.25" customHeight="1"/>
    <row r="336" s="38" customFormat="1" ht="14.25" customHeight="1"/>
    <row r="337" s="38" customFormat="1" ht="14.25" customHeight="1"/>
    <row r="338" s="38" customFormat="1" ht="14.25" customHeight="1"/>
    <row r="339" s="38" customFormat="1" ht="14.25" customHeight="1"/>
    <row r="340" s="38" customFormat="1" ht="14.25" customHeight="1"/>
    <row r="341" s="38" customFormat="1" ht="14.25" customHeight="1"/>
    <row r="342" s="38" customFormat="1" ht="14.25" customHeight="1"/>
    <row r="343" s="38" customFormat="1" ht="14.25" customHeight="1"/>
    <row r="344" s="38" customFormat="1" ht="14.25" customHeight="1"/>
    <row r="345" s="38" customFormat="1" ht="14.25" customHeight="1"/>
    <row r="346" s="38" customFormat="1" ht="14.25" customHeight="1"/>
    <row r="347" s="38" customFormat="1" ht="14.25" customHeight="1"/>
    <row r="348" s="38" customFormat="1" ht="14.25" customHeight="1"/>
    <row r="349" s="38" customFormat="1" ht="14.25" customHeight="1"/>
    <row r="350" s="38" customFormat="1" ht="14.25" customHeight="1"/>
    <row r="351" s="38" customFormat="1" ht="14.25" customHeight="1"/>
    <row r="352" s="38" customFormat="1" ht="14.25" customHeight="1"/>
    <row r="353" s="38" customFormat="1" ht="14.25" customHeight="1"/>
    <row r="354" s="38" customFormat="1" ht="14.25" customHeight="1"/>
    <row r="355" s="38" customFormat="1" ht="14.25" customHeight="1"/>
    <row r="356" s="38" customFormat="1" ht="14.25" customHeight="1"/>
    <row r="357" s="38" customFormat="1" ht="14.25" customHeight="1"/>
    <row r="358" s="38" customFormat="1" ht="14.25" customHeight="1"/>
    <row r="359" s="38" customFormat="1" ht="14.25" customHeight="1"/>
    <row r="360" s="38" customFormat="1" ht="14.25" customHeight="1"/>
    <row r="361" s="38" customFormat="1" ht="14.25" customHeight="1"/>
    <row r="362" s="38" customFormat="1" ht="14.25" customHeight="1"/>
    <row r="363" s="38" customFormat="1" ht="14.25" customHeight="1"/>
    <row r="364" s="38" customFormat="1" ht="14.25" customHeight="1"/>
    <row r="365" s="38" customFormat="1" ht="14.25" customHeight="1"/>
    <row r="366" s="38" customFormat="1" ht="14.25" customHeight="1"/>
    <row r="367" s="38" customFormat="1" ht="14.25" customHeight="1"/>
    <row r="368" s="38" customFormat="1" ht="14.25" customHeight="1"/>
    <row r="369" s="38" customFormat="1" ht="14.25" customHeight="1"/>
    <row r="370" s="38" customFormat="1" ht="14.25" customHeight="1"/>
    <row r="371" s="38" customFormat="1" ht="14.25" customHeight="1"/>
    <row r="372" s="38" customFormat="1" ht="14.25" customHeight="1"/>
    <row r="373" s="38" customFormat="1" ht="14.25" customHeight="1"/>
    <row r="374" s="38" customFormat="1" ht="14.25" customHeight="1"/>
    <row r="375" s="38" customFormat="1" ht="14.25" customHeight="1"/>
    <row r="376" s="38" customFormat="1" ht="14.25" customHeight="1"/>
    <row r="377" s="38" customFormat="1" ht="14.25" customHeight="1"/>
    <row r="378" s="38" customFormat="1" ht="14.25" customHeight="1"/>
    <row r="379" s="38" customFormat="1" ht="14.25" customHeight="1"/>
    <row r="380" s="38" customFormat="1" ht="14.25" customHeight="1"/>
    <row r="381" s="38" customFormat="1" ht="14.25" customHeight="1"/>
    <row r="382" s="38" customFormat="1" ht="14.25" customHeight="1"/>
    <row r="383" s="38" customFormat="1" ht="14.25" customHeight="1"/>
    <row r="384" s="38" customFormat="1" ht="14.25" customHeight="1"/>
    <row r="385" s="38" customFormat="1" ht="14.25" customHeight="1"/>
    <row r="386" s="38" customFormat="1" ht="14.25" customHeight="1"/>
    <row r="387" s="38" customFormat="1" ht="14.25" customHeight="1"/>
    <row r="388" s="38" customFormat="1" ht="14.25" customHeight="1"/>
    <row r="389" s="38" customFormat="1" ht="14.25" customHeight="1"/>
    <row r="390" s="38" customFormat="1" ht="14.25" customHeight="1"/>
    <row r="391" s="38" customFormat="1" ht="14.25" customHeight="1"/>
    <row r="392" s="38" customFormat="1" ht="14.25" customHeight="1"/>
    <row r="393" s="38" customFormat="1" ht="14.25" customHeight="1"/>
    <row r="394" s="38" customFormat="1" ht="14.25" customHeight="1"/>
    <row r="395" s="38" customFormat="1" ht="14.25" customHeight="1"/>
    <row r="396" s="38" customFormat="1" ht="14.25" customHeight="1"/>
    <row r="397" s="38" customFormat="1" ht="14.25" customHeight="1"/>
    <row r="398" s="38" customFormat="1" ht="14.25" customHeight="1"/>
    <row r="399" s="38" customFormat="1" ht="14.25" customHeight="1"/>
    <row r="400" s="38" customFormat="1" ht="14.25" customHeight="1"/>
    <row r="401" s="38" customFormat="1" ht="14.25" customHeight="1"/>
    <row r="402" s="38" customFormat="1" ht="14.25" customHeight="1"/>
    <row r="403" s="38" customFormat="1" ht="14.25" customHeight="1"/>
    <row r="404" s="38" customFormat="1" ht="14.25" customHeight="1"/>
    <row r="405" s="38" customFormat="1" ht="14.25" customHeight="1"/>
    <row r="406" s="38" customFormat="1" ht="14.25" customHeight="1"/>
    <row r="407" s="38" customFormat="1" ht="14.25" customHeight="1"/>
    <row r="408" s="38" customFormat="1" ht="14.25" customHeight="1"/>
    <row r="409" s="38" customFormat="1" ht="14.25" customHeight="1"/>
    <row r="410" s="38" customFormat="1" ht="14.25" customHeight="1"/>
    <row r="411" s="38" customFormat="1" ht="14.25" customHeight="1"/>
    <row r="412" s="38" customFormat="1" ht="14.25" customHeight="1"/>
    <row r="413" s="38" customFormat="1" ht="14.25" customHeight="1"/>
    <row r="414" s="38" customFormat="1" ht="14.25" customHeight="1"/>
    <row r="415" s="38" customFormat="1" ht="14.25" customHeight="1"/>
    <row r="416" s="38" customFormat="1" ht="14.25" customHeight="1"/>
    <row r="417" s="38" customFormat="1" ht="14.25" customHeight="1"/>
    <row r="418" s="38" customFormat="1" ht="14.25" customHeight="1"/>
    <row r="419" s="38" customFormat="1" ht="14.25" customHeight="1"/>
    <row r="420" s="38" customFormat="1" ht="14.25" customHeight="1"/>
    <row r="421" s="38" customFormat="1" ht="14.25" customHeight="1"/>
    <row r="422" s="38" customFormat="1" ht="14.25" customHeight="1"/>
    <row r="423" s="38" customFormat="1" ht="14.25" customHeight="1"/>
    <row r="424" s="38" customFormat="1" ht="14.25" customHeight="1"/>
    <row r="425" s="38" customFormat="1" ht="14.25" customHeight="1"/>
    <row r="426" s="38" customFormat="1" ht="14.25" customHeight="1"/>
    <row r="427" s="38" customFormat="1" ht="14.25" customHeight="1"/>
    <row r="428" s="38" customFormat="1" ht="14.25" customHeight="1"/>
    <row r="429" s="38" customFormat="1" ht="14.25" customHeight="1"/>
    <row r="430" s="38" customFormat="1" ht="14.25" customHeight="1"/>
    <row r="431" s="38" customFormat="1" ht="14.25" customHeight="1"/>
    <row r="432" s="38" customFormat="1" ht="14.25" customHeight="1"/>
    <row r="433" s="38" customFormat="1" ht="14.25" customHeight="1"/>
    <row r="434" s="38" customFormat="1" ht="14.25" customHeight="1"/>
    <row r="435" s="38" customFormat="1" ht="14.25" customHeight="1"/>
    <row r="436" s="38" customFormat="1" ht="14.25" customHeight="1"/>
    <row r="437" s="38" customFormat="1" ht="14.25" customHeight="1"/>
    <row r="438" s="38" customFormat="1" ht="14.25" customHeight="1"/>
    <row r="439" s="38" customFormat="1" ht="14.25" customHeight="1"/>
    <row r="440" s="38" customFormat="1" ht="14.25" customHeight="1"/>
    <row r="441" s="38" customFormat="1" ht="14.25" customHeight="1"/>
    <row r="442" s="38" customFormat="1" ht="14.25" customHeight="1"/>
    <row r="443" s="38" customFormat="1" ht="14.25" customHeight="1"/>
    <row r="444" s="38" customFormat="1" ht="14.25" customHeight="1"/>
    <row r="445" s="38" customFormat="1" ht="14.25" customHeight="1"/>
    <row r="446" s="38" customFormat="1" ht="14.25" customHeight="1"/>
    <row r="447" s="38" customFormat="1" ht="14.25" customHeight="1"/>
    <row r="448" s="38" customFormat="1" ht="14.25" customHeight="1"/>
    <row r="449" s="38" customFormat="1" ht="14.25" customHeight="1"/>
    <row r="450" s="38" customFormat="1" ht="14.25" customHeight="1"/>
    <row r="451" s="38" customFormat="1" ht="14.25" customHeight="1"/>
    <row r="452" s="38" customFormat="1" ht="14.25" customHeight="1"/>
    <row r="453" s="38" customFormat="1" ht="14.25" customHeight="1"/>
    <row r="454" s="38" customFormat="1" ht="14.25" customHeight="1"/>
    <row r="455" s="38" customFormat="1" ht="14.25" customHeight="1"/>
    <row r="456" s="38" customFormat="1" ht="14.25" customHeight="1"/>
    <row r="457" s="38" customFormat="1" ht="14.25" customHeight="1"/>
    <row r="458" s="38" customFormat="1" ht="14.25" customHeight="1"/>
    <row r="459" s="38" customFormat="1" ht="14.25" customHeight="1"/>
    <row r="460" s="38" customFormat="1" ht="14.25" customHeight="1"/>
    <row r="461" s="38" customFormat="1" ht="14.25" customHeight="1"/>
    <row r="462" s="38" customFormat="1" ht="14.25" customHeight="1"/>
    <row r="463" s="38" customFormat="1" ht="14.25" customHeight="1"/>
    <row r="464" s="38" customFormat="1" ht="14.25" customHeight="1"/>
    <row r="465" s="38" customFormat="1" ht="14.25" customHeight="1"/>
    <row r="466" s="38" customFormat="1" ht="14.25" customHeight="1"/>
    <row r="467" s="38" customFormat="1" ht="14.25" customHeight="1"/>
    <row r="468" s="38" customFormat="1" ht="14.25" customHeight="1"/>
    <row r="469" s="38" customFormat="1" ht="14.25" customHeight="1"/>
    <row r="470" s="38" customFormat="1" ht="14.25" customHeight="1"/>
    <row r="471" s="38" customFormat="1" ht="14.25" customHeight="1"/>
    <row r="472" s="38" customFormat="1" ht="14.25" customHeight="1"/>
    <row r="473" s="38" customFormat="1" ht="14.25" customHeight="1"/>
    <row r="474" s="38" customFormat="1" ht="14.25" customHeight="1"/>
    <row r="475" s="38" customFormat="1" ht="14.25" customHeight="1"/>
    <row r="476" s="38" customFormat="1" ht="14.25" customHeight="1"/>
    <row r="477" s="38" customFormat="1" ht="14.25" customHeight="1"/>
    <row r="478" s="38" customFormat="1" ht="14.25" customHeight="1"/>
    <row r="479" s="38" customFormat="1" ht="14.25" customHeight="1"/>
    <row r="480" s="38" customFormat="1" ht="14.25" customHeight="1"/>
    <row r="481" s="38" customFormat="1" ht="14.25" customHeight="1"/>
    <row r="482" s="38" customFormat="1" ht="14.25" customHeight="1"/>
    <row r="483" s="38" customFormat="1" ht="14.25" customHeight="1"/>
    <row r="484" s="38" customFormat="1" ht="14.25" customHeight="1"/>
    <row r="485" s="38" customFormat="1" ht="14.25" customHeight="1"/>
    <row r="486" s="38" customFormat="1" ht="14.25" customHeight="1"/>
    <row r="487" s="38" customFormat="1" ht="14.25" customHeight="1"/>
    <row r="488" s="38" customFormat="1" ht="14.25" customHeight="1"/>
    <row r="489" s="38" customFormat="1" ht="14.25" customHeight="1"/>
    <row r="490" s="38" customFormat="1" ht="14.25" customHeight="1"/>
    <row r="491" s="38" customFormat="1" ht="14.25" customHeight="1"/>
    <row r="492" s="38" customFormat="1" ht="14.25" customHeight="1"/>
    <row r="493" s="38" customFormat="1" ht="14.25" customHeight="1"/>
    <row r="494" s="38" customFormat="1" ht="14.25" customHeight="1"/>
    <row r="495" s="38" customFormat="1" ht="14.25" customHeight="1"/>
    <row r="496" s="38" customFormat="1" ht="14.25" customHeight="1"/>
    <row r="497" s="38" customFormat="1" ht="14.25" customHeight="1"/>
    <row r="498" s="38" customFormat="1" ht="14.25" customHeight="1"/>
    <row r="499" s="38" customFormat="1" ht="14.25" customHeight="1"/>
    <row r="500" s="38" customFormat="1" ht="14.25" customHeight="1"/>
    <row r="501" s="38" customFormat="1" ht="14.25" customHeight="1"/>
    <row r="502" s="38" customFormat="1" ht="14.25" customHeight="1"/>
    <row r="503" s="38" customFormat="1" ht="14.25" customHeight="1"/>
    <row r="504" s="38" customFormat="1" ht="14.25" customHeight="1"/>
    <row r="505" s="38" customFormat="1" ht="14.25" customHeight="1"/>
    <row r="506" s="38" customFormat="1" ht="14.25" customHeight="1"/>
    <row r="507" s="38" customFormat="1" ht="14.25" customHeight="1"/>
    <row r="508" s="38" customFormat="1" ht="14.25" customHeight="1"/>
    <row r="509" s="38" customFormat="1" ht="14.25" customHeight="1"/>
    <row r="510" s="38" customFormat="1" ht="14.25" customHeight="1"/>
    <row r="511" s="38" customFormat="1" ht="14.25" customHeight="1"/>
    <row r="512" s="38" customFormat="1" ht="14.25" customHeight="1"/>
    <row r="513" s="38" customFormat="1" ht="14.25" customHeight="1"/>
    <row r="514" s="38" customFormat="1" ht="14.25" customHeight="1"/>
    <row r="515" s="38" customFormat="1" ht="14.25" customHeight="1"/>
    <row r="516" s="38" customFormat="1" ht="14.25" customHeight="1"/>
    <row r="517" s="38" customFormat="1" ht="14.25" customHeight="1"/>
    <row r="518" s="38" customFormat="1" ht="14.25" customHeight="1"/>
    <row r="519" s="38" customFormat="1" ht="14.25" customHeight="1"/>
    <row r="520" s="38" customFormat="1" ht="14.25" customHeight="1"/>
    <row r="521" s="38" customFormat="1" ht="14.25" customHeight="1"/>
    <row r="522" s="38" customFormat="1" ht="14.25" customHeight="1"/>
    <row r="523" s="38" customFormat="1" ht="14.25" customHeight="1"/>
    <row r="524" s="38" customFormat="1" ht="14.25" customHeight="1"/>
    <row r="525" s="38" customFormat="1" ht="14.25" customHeight="1"/>
    <row r="526" s="38" customFormat="1" ht="14.25" customHeight="1"/>
    <row r="527" s="38" customFormat="1" ht="14.25" customHeight="1"/>
    <row r="528" s="38" customFormat="1" ht="14.25" customHeight="1"/>
    <row r="529" s="38" customFormat="1" ht="14.25" customHeight="1"/>
    <row r="530" s="38" customFormat="1" ht="14.25" customHeight="1"/>
    <row r="531" s="38" customFormat="1" ht="14.25" customHeight="1"/>
    <row r="532" s="38" customFormat="1" ht="14.25" customHeight="1"/>
    <row r="533" s="38" customFormat="1" ht="14.25" customHeight="1"/>
    <row r="534" s="38" customFormat="1" ht="14.25" customHeight="1"/>
    <row r="535" s="38" customFormat="1" ht="14.25" customHeight="1"/>
    <row r="536" s="38" customFormat="1" ht="14.25" customHeight="1"/>
    <row r="537" s="38" customFormat="1" ht="14.25" customHeight="1"/>
    <row r="538" s="38" customFormat="1" ht="14.25" customHeight="1"/>
    <row r="539" s="38" customFormat="1" ht="14.25" customHeight="1"/>
    <row r="540" s="38" customFormat="1" ht="14.25" customHeight="1"/>
    <row r="541" s="38" customFormat="1" ht="14.25" customHeight="1"/>
    <row r="542" s="38" customFormat="1" ht="14.25" customHeight="1"/>
    <row r="543" s="38" customFormat="1" ht="14.25" customHeight="1"/>
    <row r="544" s="38" customFormat="1" ht="14.25" customHeight="1"/>
    <row r="545" s="38" customFormat="1" ht="14.25" customHeight="1"/>
    <row r="546" s="38" customFormat="1" ht="14.25" customHeight="1"/>
    <row r="547" s="38" customFormat="1" ht="14.25" customHeight="1"/>
    <row r="548" s="38" customFormat="1" ht="14.25" customHeight="1"/>
    <row r="549" s="38" customFormat="1" ht="14.25" customHeight="1"/>
    <row r="550" s="38" customFormat="1" ht="14.25" customHeight="1"/>
    <row r="551" s="38" customFormat="1" ht="14.25" customHeight="1"/>
    <row r="552" s="38" customFormat="1" ht="14.25" customHeight="1"/>
    <row r="553" s="38" customFormat="1" ht="14.25" customHeight="1"/>
    <row r="554" s="38" customFormat="1" ht="14.25" customHeight="1"/>
    <row r="555" s="38" customFormat="1" ht="14.25" customHeight="1"/>
    <row r="556" s="38" customFormat="1" ht="14.25" customHeight="1"/>
    <row r="557" s="38" customFormat="1" ht="14.25" customHeight="1"/>
    <row r="558" s="38" customFormat="1" ht="14.25" customHeight="1"/>
    <row r="559" s="38" customFormat="1" ht="14.25" customHeight="1"/>
    <row r="560" s="38" customFormat="1" ht="14.25" customHeight="1"/>
    <row r="561" s="38" customFormat="1" ht="14.25" customHeight="1"/>
    <row r="562" s="38" customFormat="1" ht="14.25" customHeight="1"/>
    <row r="563" s="38" customFormat="1" ht="14.25" customHeight="1"/>
    <row r="564" s="38" customFormat="1" ht="14.25" customHeight="1"/>
    <row r="565" s="38" customFormat="1" ht="14.25" customHeight="1"/>
    <row r="566" s="38" customFormat="1" ht="14.25" customHeight="1"/>
    <row r="567" s="38" customFormat="1" ht="14.25" customHeight="1"/>
    <row r="568" s="38" customFormat="1" ht="14.25" customHeight="1"/>
    <row r="569" s="38" customFormat="1" ht="14.25" customHeight="1"/>
    <row r="570" s="38" customFormat="1" ht="14.25" customHeight="1"/>
    <row r="571" s="38" customFormat="1" ht="14.25" customHeight="1"/>
    <row r="572" s="38" customFormat="1" ht="14.25" customHeight="1"/>
    <row r="573" s="38" customFormat="1" ht="14.25" customHeight="1"/>
    <row r="574" s="38" customFormat="1" ht="14.25" customHeight="1"/>
    <row r="575" s="38" customFormat="1" ht="14.25" customHeight="1"/>
    <row r="576" s="38" customFormat="1" ht="14.25" customHeight="1"/>
    <row r="577" s="38" customFormat="1" ht="14.25" customHeight="1"/>
    <row r="578" s="38" customFormat="1" ht="14.25" customHeight="1"/>
    <row r="579" s="38" customFormat="1" ht="14.25" customHeight="1"/>
    <row r="580" s="38" customFormat="1" ht="14.25" customHeight="1"/>
    <row r="581" s="38" customFormat="1" ht="14.25" customHeight="1"/>
    <row r="582" s="38" customFormat="1" ht="14.25" customHeight="1"/>
    <row r="583" s="38" customFormat="1" ht="14.25" customHeight="1"/>
    <row r="584" s="38" customFormat="1" ht="14.25" customHeight="1"/>
    <row r="585" s="38" customFormat="1" ht="14.25" customHeight="1"/>
    <row r="586" s="38" customFormat="1" ht="14.25" customHeight="1"/>
    <row r="587" s="38" customFormat="1" ht="14.25" customHeight="1"/>
    <row r="588" s="38" customFormat="1" ht="14.25" customHeight="1"/>
    <row r="589" s="38" customFormat="1" ht="14.25" customHeight="1"/>
    <row r="590" s="38" customFormat="1" ht="14.25" customHeight="1"/>
    <row r="591" s="38" customFormat="1" ht="14.25" customHeight="1"/>
    <row r="592" s="38" customFormat="1" ht="14.25" customHeight="1"/>
    <row r="593" s="38" customFormat="1" ht="14.25" customHeight="1"/>
    <row r="594" s="38" customFormat="1" ht="14.25" customHeight="1"/>
    <row r="595" s="38" customFormat="1" ht="14.25" customHeight="1"/>
    <row r="596" s="38" customFormat="1" ht="14.25" customHeight="1"/>
    <row r="597" s="38" customFormat="1" ht="14.25" customHeight="1"/>
    <row r="598" s="38" customFormat="1" ht="14.25" customHeight="1"/>
    <row r="599" s="38" customFormat="1" ht="14.25" customHeight="1"/>
    <row r="600" s="38" customFormat="1" ht="14.25" customHeight="1"/>
    <row r="601" s="38" customFormat="1" ht="14.25" customHeight="1"/>
    <row r="602" s="38" customFormat="1" ht="14.25" customHeight="1"/>
    <row r="603" s="38" customFormat="1" ht="14.25" customHeight="1"/>
    <row r="604" s="38" customFormat="1" ht="14.25" customHeight="1"/>
    <row r="605" s="38" customFormat="1" ht="14.25" customHeight="1"/>
    <row r="606" s="38" customFormat="1" ht="14.25" customHeight="1"/>
    <row r="607" s="38" customFormat="1" ht="14.25" customHeight="1"/>
    <row r="608" s="38" customFormat="1" ht="14.25" customHeight="1"/>
    <row r="609" s="38" customFormat="1" ht="14.25" customHeight="1"/>
    <row r="610" s="38" customFormat="1" ht="14.25" customHeight="1"/>
    <row r="611" s="38" customFormat="1" ht="14.25" customHeight="1"/>
    <row r="612" s="38" customFormat="1" ht="14.25" customHeight="1"/>
    <row r="613" s="38" customFormat="1" ht="14.25" customHeight="1"/>
    <row r="614" s="38" customFormat="1" ht="14.25" customHeight="1"/>
    <row r="615" s="38" customFormat="1" ht="14.25" customHeight="1"/>
    <row r="616" s="38" customFormat="1" ht="14.25" customHeight="1"/>
    <row r="617" s="38" customFormat="1" ht="14.25" customHeight="1"/>
    <row r="618" s="38" customFormat="1" ht="14.25" customHeight="1"/>
    <row r="619" s="38" customFormat="1" ht="14.25" customHeight="1"/>
    <row r="620" s="38" customFormat="1" ht="14.25" customHeight="1"/>
    <row r="621" s="38" customFormat="1" ht="14.25" customHeight="1"/>
    <row r="622" s="38" customFormat="1" ht="14.25" customHeight="1"/>
    <row r="623" s="38" customFormat="1" ht="14.25" customHeight="1"/>
    <row r="624" s="38" customFormat="1" ht="14.25" customHeight="1"/>
    <row r="625" s="38" customFormat="1" ht="14.25" customHeight="1"/>
    <row r="626" s="38" customFormat="1" ht="14.25" customHeight="1"/>
    <row r="627" s="38" customFormat="1" ht="14.25" customHeight="1"/>
    <row r="628" s="38" customFormat="1" ht="14.25" customHeight="1"/>
    <row r="629" s="38" customFormat="1" ht="14.25" customHeight="1"/>
    <row r="630" s="38" customFormat="1" ht="14.25" customHeight="1"/>
    <row r="631" s="38" customFormat="1" ht="14.25" customHeight="1"/>
    <row r="632" s="38" customFormat="1" ht="14.25" customHeight="1"/>
    <row r="633" s="38" customFormat="1" ht="14.25" customHeight="1"/>
    <row r="634" s="38" customFormat="1" ht="14.25" customHeight="1"/>
    <row r="635" s="38" customFormat="1" ht="14.25" customHeight="1"/>
    <row r="636" s="38" customFormat="1" ht="14.25" customHeight="1"/>
    <row r="637" s="38" customFormat="1" ht="14.25" customHeight="1"/>
    <row r="638" s="38" customFormat="1" ht="14.25" customHeight="1"/>
    <row r="639" s="38" customFormat="1" ht="14.25" customHeight="1"/>
    <row r="640" s="38" customFormat="1" ht="14.25" customHeight="1"/>
    <row r="641" s="38" customFormat="1" ht="14.25" customHeight="1"/>
    <row r="642" s="38" customFormat="1" ht="14.25" customHeight="1"/>
    <row r="643" s="38" customFormat="1" ht="14.25" customHeight="1"/>
    <row r="644" s="38" customFormat="1" ht="14.25" customHeight="1"/>
    <row r="645" s="38" customFormat="1" ht="14.25" customHeight="1"/>
    <row r="646" s="38" customFormat="1" ht="14.25" customHeight="1"/>
    <row r="647" s="38" customFormat="1" ht="14.25" customHeight="1"/>
    <row r="648" s="38" customFormat="1" ht="14.25" customHeight="1"/>
    <row r="649" s="38" customFormat="1" ht="14.25" customHeight="1"/>
    <row r="650" s="38" customFormat="1" ht="14.25" customHeight="1"/>
    <row r="651" s="38" customFormat="1" ht="14.25" customHeight="1"/>
    <row r="652" s="38" customFormat="1" ht="14.25" customHeight="1"/>
    <row r="653" s="38" customFormat="1" ht="14.25" customHeight="1"/>
    <row r="654" s="38" customFormat="1" ht="14.25" customHeight="1"/>
    <row r="655" s="38" customFormat="1" ht="14.25" customHeight="1"/>
    <row r="656" s="38" customFormat="1" ht="14.25" customHeight="1"/>
    <row r="657" s="38" customFormat="1" ht="14.25" customHeight="1"/>
    <row r="658" s="38" customFormat="1" ht="14.25" customHeight="1"/>
    <row r="659" s="38" customFormat="1" ht="14.25" customHeight="1"/>
    <row r="660" s="38" customFormat="1" ht="14.25" customHeight="1"/>
    <row r="661" s="38" customFormat="1" ht="14.25" customHeight="1"/>
    <row r="662" s="38" customFormat="1" ht="14.25" customHeight="1"/>
    <row r="663" s="38" customFormat="1" ht="14.25" customHeight="1"/>
    <row r="664" s="38" customFormat="1" ht="14.25" customHeight="1"/>
    <row r="665" s="38" customFormat="1" ht="14.25" customHeight="1"/>
    <row r="666" s="38" customFormat="1" ht="14.25" customHeight="1"/>
    <row r="667" s="38" customFormat="1" ht="14.25" customHeight="1"/>
    <row r="668" s="38" customFormat="1" ht="14.25" customHeight="1"/>
    <row r="669" s="38" customFormat="1" ht="14.25" customHeight="1"/>
    <row r="670" s="38" customFormat="1" ht="14.25" customHeight="1"/>
    <row r="671" s="38" customFormat="1" ht="14.25" customHeight="1"/>
    <row r="672" s="38" customFormat="1" ht="14.25" customHeight="1"/>
    <row r="673" s="38" customFormat="1" ht="14.25" customHeight="1"/>
    <row r="674" s="38" customFormat="1" ht="14.25" customHeight="1"/>
    <row r="675" s="38" customFormat="1" ht="14.25" customHeight="1"/>
    <row r="676" s="38" customFormat="1" ht="14.25" customHeight="1"/>
    <row r="677" s="38" customFormat="1" ht="14.25" customHeight="1"/>
    <row r="678" s="38" customFormat="1" ht="14.25" customHeight="1"/>
    <row r="679" s="38" customFormat="1" ht="14.25" customHeight="1"/>
    <row r="680" s="38" customFormat="1" ht="14.25" customHeight="1"/>
    <row r="681" s="38" customFormat="1" ht="14.25" customHeight="1"/>
    <row r="682" s="38" customFormat="1" ht="14.25" customHeight="1"/>
    <row r="683" s="38" customFormat="1" ht="14.25" customHeight="1"/>
    <row r="684" s="38" customFormat="1" ht="14.25" customHeight="1"/>
    <row r="685" s="38" customFormat="1" ht="14.25" customHeight="1"/>
    <row r="686" s="38" customFormat="1" ht="14.25" customHeight="1"/>
    <row r="687" s="38" customFormat="1" ht="14.25" customHeight="1"/>
    <row r="688" s="38" customFormat="1" ht="14.25" customHeight="1"/>
    <row r="689" s="38" customFormat="1" ht="14.25" customHeight="1"/>
    <row r="690" s="38" customFormat="1" ht="14.25" customHeight="1"/>
    <row r="691" s="38" customFormat="1" ht="14.25" customHeight="1"/>
    <row r="692" s="38" customFormat="1" ht="14.25" customHeight="1"/>
    <row r="693" s="38" customFormat="1" ht="14.25" customHeight="1"/>
    <row r="694" s="38" customFormat="1" ht="14.25" customHeight="1"/>
    <row r="695" s="38" customFormat="1" ht="14.25" customHeight="1"/>
    <row r="696" s="38" customFormat="1" ht="14.25" customHeight="1"/>
    <row r="697" s="38" customFormat="1" ht="14.25" customHeight="1"/>
    <row r="698" s="38" customFormat="1" ht="14.25" customHeight="1"/>
    <row r="699" s="38" customFormat="1" ht="14.25" customHeight="1"/>
    <row r="700" s="38" customFormat="1" ht="14.25" customHeight="1"/>
    <row r="701" s="38" customFormat="1" ht="14.25" customHeight="1"/>
    <row r="702" s="38" customFormat="1" ht="14.25" customHeight="1"/>
    <row r="703" s="38" customFormat="1" ht="14.25" customHeight="1"/>
    <row r="704" s="38" customFormat="1" ht="14.25" customHeight="1"/>
    <row r="705" s="38" customFormat="1" ht="14.25" customHeight="1"/>
    <row r="706" s="38" customFormat="1" ht="14.25" customHeight="1"/>
    <row r="707" s="38" customFormat="1" ht="14.25" customHeight="1"/>
    <row r="708" s="38" customFormat="1" ht="14.25" customHeight="1"/>
    <row r="709" s="38" customFormat="1" ht="14.25" customHeight="1"/>
    <row r="710" s="38" customFormat="1" ht="14.25" customHeight="1"/>
    <row r="711" s="38" customFormat="1" ht="14.25" customHeight="1"/>
    <row r="712" s="38" customFormat="1" ht="14.25" customHeight="1"/>
    <row r="713" s="38" customFormat="1" ht="14.25" customHeight="1"/>
    <row r="714" s="38" customFormat="1" ht="14.25" customHeight="1"/>
    <row r="715" s="38" customFormat="1" ht="14.25" customHeight="1"/>
    <row r="716" s="38" customFormat="1" ht="14.25" customHeight="1"/>
    <row r="717" s="38" customFormat="1" ht="14.25" customHeight="1"/>
    <row r="718" s="38" customFormat="1" ht="14.25" customHeight="1"/>
    <row r="719" s="38" customFormat="1" ht="14.25" customHeight="1"/>
    <row r="720" s="38" customFormat="1" ht="14.25" customHeight="1"/>
    <row r="721" s="38" customFormat="1" ht="14.25" customHeight="1"/>
    <row r="722" s="38" customFormat="1" ht="14.25" customHeight="1"/>
    <row r="723" s="38" customFormat="1" ht="14.25" customHeight="1"/>
    <row r="724" s="38" customFormat="1" ht="14.25" customHeight="1"/>
    <row r="725" s="38" customFormat="1" ht="14.25" customHeight="1"/>
    <row r="726" s="38" customFormat="1" ht="14.25" customHeight="1"/>
    <row r="727" s="38" customFormat="1" ht="14.25" customHeight="1"/>
    <row r="728" s="38" customFormat="1" ht="14.25" customHeight="1"/>
    <row r="729" s="38" customFormat="1" ht="14.25" customHeight="1"/>
    <row r="730" s="38" customFormat="1" ht="14.25" customHeight="1"/>
    <row r="731" s="38" customFormat="1" ht="14.25" customHeight="1"/>
    <row r="732" s="38" customFormat="1" ht="14.25" customHeight="1"/>
    <row r="733" s="38" customFormat="1" ht="14.25" customHeight="1"/>
    <row r="734" s="38" customFormat="1" ht="14.25" customHeight="1"/>
    <row r="735" s="38" customFormat="1" ht="14.25" customHeight="1"/>
    <row r="736" s="38" customFormat="1" ht="14.25" customHeight="1"/>
    <row r="737" s="38" customFormat="1" ht="14.25" customHeight="1"/>
    <row r="738" s="38" customFormat="1" ht="14.25" customHeight="1"/>
    <row r="739" s="38" customFormat="1" ht="14.25" customHeight="1"/>
    <row r="740" s="38" customFormat="1" ht="14.25" customHeight="1"/>
    <row r="741" s="38" customFormat="1" ht="14.25" customHeight="1"/>
    <row r="742" s="38" customFormat="1" ht="14.25" customHeight="1"/>
    <row r="743" s="38" customFormat="1" ht="14.25" customHeight="1"/>
    <row r="744" s="38" customFormat="1" ht="14.25" customHeight="1"/>
    <row r="745" s="38" customFormat="1" ht="14.25" customHeight="1"/>
    <row r="746" s="38" customFormat="1" ht="14.25" customHeight="1"/>
    <row r="747" s="38" customFormat="1" ht="14.25" customHeight="1"/>
    <row r="748" s="38" customFormat="1" ht="14.25" customHeight="1"/>
    <row r="749" s="38" customFormat="1" ht="14.25" customHeight="1"/>
    <row r="750" s="38" customFormat="1" ht="14.25" customHeight="1"/>
    <row r="751" s="38" customFormat="1" ht="14.25" customHeight="1"/>
    <row r="752" s="38" customFormat="1" ht="14.25" customHeight="1"/>
    <row r="753" s="38" customFormat="1" ht="14.25" customHeight="1"/>
    <row r="754" s="38" customFormat="1" ht="14.25" customHeight="1"/>
    <row r="755" s="38" customFormat="1" ht="14.25" customHeight="1"/>
    <row r="756" s="38" customFormat="1" ht="14.25" customHeight="1"/>
    <row r="757" s="38" customFormat="1" ht="14.25" customHeight="1"/>
    <row r="758" s="38" customFormat="1" ht="14.25" customHeight="1"/>
    <row r="759" s="38" customFormat="1" ht="14.25" customHeight="1"/>
    <row r="760" s="38" customFormat="1" ht="14.25" customHeight="1"/>
    <row r="761" s="38" customFormat="1" ht="14.25" customHeight="1"/>
    <row r="762" s="38" customFormat="1" ht="14.25" customHeight="1"/>
    <row r="763" s="38" customFormat="1" ht="14.25" customHeight="1"/>
    <row r="764" s="38" customFormat="1" ht="14.25" customHeight="1"/>
    <row r="765" s="38" customFormat="1" ht="14.25" customHeight="1"/>
    <row r="766" s="38" customFormat="1" ht="14.25" customHeight="1"/>
    <row r="767" s="38" customFormat="1" ht="14.25" customHeight="1"/>
    <row r="768" s="38" customFormat="1" ht="14.25" customHeight="1"/>
    <row r="769" s="38" customFormat="1" ht="14.25" customHeight="1"/>
    <row r="770" s="38" customFormat="1" ht="14.25" customHeight="1"/>
    <row r="771" s="38" customFormat="1" ht="14.25" customHeight="1"/>
    <row r="772" s="38" customFormat="1" ht="14.25" customHeight="1"/>
    <row r="773" s="38" customFormat="1" ht="14.25" customHeight="1"/>
    <row r="774" s="38" customFormat="1" ht="14.25" customHeight="1"/>
    <row r="775" s="38" customFormat="1" ht="14.25" customHeight="1"/>
    <row r="776" s="38" customFormat="1" ht="14.25" customHeight="1"/>
    <row r="777" s="38" customFormat="1" ht="14.25" customHeight="1"/>
    <row r="778" s="38" customFormat="1" ht="14.25" customHeight="1"/>
    <row r="779" s="38" customFormat="1" ht="14.25" customHeight="1"/>
    <row r="780" s="38" customFormat="1" ht="14.25" customHeight="1"/>
    <row r="781" s="38" customFormat="1" ht="14.25" customHeight="1"/>
    <row r="782" s="38" customFormat="1" ht="14.25" customHeight="1"/>
    <row r="783" s="38" customFormat="1" ht="14.25" customHeight="1"/>
    <row r="784" s="38" customFormat="1" ht="14.25" customHeight="1"/>
    <row r="785" s="38" customFormat="1" ht="14.25" customHeight="1"/>
    <row r="786" s="38" customFormat="1" ht="14.25" customHeight="1"/>
    <row r="787" s="38" customFormat="1" ht="14.25" customHeight="1"/>
    <row r="788" s="38" customFormat="1" ht="14.25" customHeight="1"/>
    <row r="789" s="38" customFormat="1" ht="14.25" customHeight="1"/>
    <row r="790" s="38" customFormat="1" ht="14.25" customHeight="1"/>
    <row r="791" s="38" customFormat="1" ht="14.25" customHeight="1"/>
    <row r="792" s="38" customFormat="1" ht="14.25" customHeight="1"/>
    <row r="793" s="38" customFormat="1" ht="14.25" customHeight="1"/>
    <row r="794" s="38" customFormat="1" ht="14.25" customHeight="1"/>
    <row r="795" s="38" customFormat="1" ht="14.25" customHeight="1"/>
    <row r="796" s="38" customFormat="1" ht="14.25" customHeight="1"/>
    <row r="797" s="38" customFormat="1" ht="14.25" customHeight="1"/>
    <row r="798" s="38" customFormat="1" ht="14.25" customHeight="1"/>
    <row r="799" s="38" customFormat="1" ht="14.25" customHeight="1"/>
    <row r="800" s="38" customFormat="1" ht="14.25" customHeight="1"/>
    <row r="801" s="38" customFormat="1" ht="14.25" customHeight="1"/>
    <row r="802" s="38" customFormat="1" ht="14.25" customHeight="1"/>
    <row r="803" s="38" customFormat="1" ht="14.25" customHeight="1"/>
    <row r="804" s="38" customFormat="1" ht="14.25" customHeight="1"/>
    <row r="805" s="38" customFormat="1" ht="14.25" customHeight="1"/>
    <row r="806" s="38" customFormat="1" ht="14.25" customHeight="1"/>
    <row r="807" s="38" customFormat="1" ht="14.25" customHeight="1"/>
    <row r="808" s="38" customFormat="1" ht="14.25" customHeight="1"/>
    <row r="809" s="38" customFormat="1" ht="14.25" customHeight="1"/>
    <row r="810" s="38" customFormat="1" ht="14.25" customHeight="1"/>
    <row r="811" s="38" customFormat="1" ht="14.25" customHeight="1"/>
    <row r="812" s="38" customFormat="1" ht="14.25" customHeight="1"/>
    <row r="813" s="38" customFormat="1" ht="14.25" customHeight="1"/>
    <row r="814" s="38" customFormat="1" ht="14.25" customHeight="1"/>
    <row r="815" s="38" customFormat="1" ht="14.25" customHeight="1"/>
    <row r="816" s="38" customFormat="1" ht="14.25" customHeight="1"/>
    <row r="817" s="38" customFormat="1" ht="14.25" customHeight="1"/>
    <row r="818" s="38" customFormat="1" ht="14.25" customHeight="1"/>
    <row r="819" s="38" customFormat="1" ht="14.25" customHeight="1"/>
    <row r="820" s="38" customFormat="1" ht="14.25" customHeight="1"/>
    <row r="821" s="38" customFormat="1" ht="14.25" customHeight="1"/>
    <row r="822" s="38" customFormat="1" ht="14.25" customHeight="1"/>
    <row r="823" s="38" customFormat="1" ht="14.25" customHeight="1"/>
    <row r="824" s="38" customFormat="1" ht="14.25" customHeight="1"/>
    <row r="825" s="38" customFormat="1" ht="14.25" customHeight="1"/>
    <row r="826" s="38" customFormat="1" ht="14.25" customHeight="1"/>
    <row r="827" s="38" customFormat="1" ht="14.25" customHeight="1"/>
    <row r="828" s="38" customFormat="1" ht="14.25" customHeight="1"/>
    <row r="829" s="38" customFormat="1" ht="14.25" customHeight="1"/>
    <row r="830" s="38" customFormat="1" ht="14.25" customHeight="1"/>
    <row r="831" s="38" customFormat="1" ht="14.25" customHeight="1"/>
    <row r="832" s="38" customFormat="1" ht="14.25" customHeight="1"/>
    <row r="833" s="38" customFormat="1" ht="14.25" customHeight="1"/>
    <row r="834" s="38" customFormat="1" ht="14.25" customHeight="1"/>
    <row r="835" s="38" customFormat="1" ht="14.25" customHeight="1"/>
    <row r="836" s="38" customFormat="1" ht="14.25" customHeight="1"/>
    <row r="837" s="38" customFormat="1" ht="14.25" customHeight="1"/>
    <row r="838" s="38" customFormat="1" ht="14.25" customHeight="1"/>
    <row r="839" s="38" customFormat="1" ht="14.25" customHeight="1"/>
    <row r="840" s="38" customFormat="1" ht="14.25" customHeight="1"/>
    <row r="841" s="38" customFormat="1" ht="14.25" customHeight="1"/>
    <row r="842" s="38" customFormat="1" ht="14.25" customHeight="1"/>
    <row r="843" s="38" customFormat="1" ht="14.25" customHeight="1"/>
    <row r="844" s="38" customFormat="1" ht="14.25" customHeight="1"/>
    <row r="845" s="38" customFormat="1" ht="14.25" customHeight="1"/>
    <row r="846" s="38" customFormat="1" ht="14.25" customHeight="1"/>
    <row r="847" s="38" customFormat="1" ht="14.25" customHeight="1"/>
    <row r="848" s="38" customFormat="1" ht="14.25" customHeight="1"/>
    <row r="849" s="38" customFormat="1" ht="14.25" customHeight="1"/>
    <row r="850" s="38" customFormat="1" ht="14.25" customHeight="1"/>
    <row r="851" s="38" customFormat="1" ht="14.25" customHeight="1"/>
    <row r="852" s="38" customFormat="1" ht="14.25" customHeight="1"/>
    <row r="853" s="38" customFormat="1" ht="14.25" customHeight="1"/>
    <row r="854" s="38" customFormat="1" ht="14.25" customHeight="1"/>
    <row r="855" s="38" customFormat="1" ht="14.25" customHeight="1"/>
    <row r="856" s="38" customFormat="1" ht="14.25" customHeight="1"/>
    <row r="857" s="38" customFormat="1" ht="14.25" customHeight="1"/>
    <row r="858" s="38" customFormat="1" ht="14.25" customHeight="1"/>
    <row r="859" s="38" customFormat="1" ht="14.25" customHeight="1"/>
    <row r="860" s="38" customFormat="1" ht="14.25" customHeight="1"/>
    <row r="861" s="38" customFormat="1" ht="14.25" customHeight="1"/>
    <row r="862" s="38" customFormat="1" ht="14.25" customHeight="1"/>
    <row r="863" s="38" customFormat="1" ht="14.25" customHeight="1"/>
    <row r="864" s="38" customFormat="1" ht="14.25" customHeight="1"/>
    <row r="865" s="38" customFormat="1" ht="14.25" customHeight="1"/>
    <row r="866" s="38" customFormat="1" ht="14.25" customHeight="1"/>
    <row r="867" s="38" customFormat="1" ht="14.25" customHeight="1"/>
    <row r="868" s="38" customFormat="1" ht="14.25" customHeight="1"/>
    <row r="869" s="38" customFormat="1" ht="14.25" customHeight="1"/>
    <row r="870" s="38" customFormat="1" ht="14.25" customHeight="1"/>
    <row r="871" s="38" customFormat="1" ht="14.25" customHeight="1"/>
    <row r="872" s="38" customFormat="1" ht="14.25" customHeight="1"/>
    <row r="873" s="38" customFormat="1" ht="14.25" customHeight="1"/>
    <row r="874" s="38" customFormat="1" ht="14.25" customHeight="1"/>
    <row r="875" s="38" customFormat="1" ht="14.25" customHeight="1"/>
    <row r="876" s="38" customFormat="1" ht="14.25" customHeight="1"/>
    <row r="877" s="38" customFormat="1" ht="14.25" customHeight="1"/>
    <row r="878" s="38" customFormat="1" ht="14.25" customHeight="1"/>
    <row r="879" s="38" customFormat="1" ht="14.25" customHeight="1"/>
    <row r="880" s="38" customFormat="1" ht="14.25" customHeight="1"/>
    <row r="881" s="38" customFormat="1" ht="14.25" customHeight="1"/>
    <row r="882" s="38" customFormat="1" ht="14.25" customHeight="1"/>
    <row r="883" s="38" customFormat="1" ht="14.25" customHeight="1"/>
    <row r="884" s="38" customFormat="1" ht="14.25" customHeight="1"/>
    <row r="885" s="38" customFormat="1" ht="14.25" customHeight="1"/>
    <row r="886" s="38" customFormat="1" ht="14.25" customHeight="1"/>
    <row r="887" s="38" customFormat="1" ht="14.25" customHeight="1"/>
    <row r="888" s="38" customFormat="1" ht="14.25" customHeight="1"/>
    <row r="889" s="38" customFormat="1" ht="14.25" customHeight="1"/>
    <row r="890" s="38" customFormat="1" ht="14.25" customHeight="1"/>
    <row r="891" s="38" customFormat="1" ht="14.25" customHeight="1"/>
    <row r="892" s="38" customFormat="1" ht="14.25" customHeight="1"/>
    <row r="893" s="38" customFormat="1" ht="14.25" customHeight="1"/>
    <row r="894" s="38" customFormat="1" ht="14.25" customHeight="1"/>
    <row r="895" s="38" customFormat="1" ht="14.25" customHeight="1"/>
    <row r="896" s="38" customFormat="1" ht="14.25" customHeight="1"/>
    <row r="897" s="38" customFormat="1" ht="14.25" customHeight="1"/>
    <row r="898" s="38" customFormat="1" ht="14.25" customHeight="1"/>
    <row r="899" s="38" customFormat="1" ht="14.25" customHeight="1"/>
    <row r="900" s="38" customFormat="1" ht="14.25" customHeight="1"/>
    <row r="901" s="38" customFormat="1" ht="14.25" customHeight="1"/>
    <row r="902" s="38" customFormat="1" ht="14.25" customHeight="1"/>
    <row r="903" s="38" customFormat="1" ht="14.25" customHeight="1"/>
    <row r="904" s="38" customFormat="1" ht="14.25" customHeight="1"/>
    <row r="905" s="38" customFormat="1" ht="14.25" customHeight="1"/>
    <row r="906" s="38" customFormat="1" ht="14.25" customHeight="1"/>
    <row r="907" s="38" customFormat="1" ht="14.25" customHeight="1"/>
    <row r="908" s="38" customFormat="1" ht="14.25" customHeight="1"/>
    <row r="909" s="38" customFormat="1" ht="14.25" customHeight="1"/>
    <row r="910" s="38" customFormat="1" ht="14.25" customHeight="1"/>
    <row r="911" s="38" customFormat="1" ht="14.25" customHeight="1"/>
    <row r="912" s="38" customFormat="1" ht="14.25" customHeight="1"/>
    <row r="913" s="38" customFormat="1" ht="14.25" customHeight="1"/>
    <row r="914" s="38" customFormat="1" ht="14.25" customHeight="1"/>
    <row r="915" s="38" customFormat="1" ht="14.25" customHeight="1"/>
    <row r="916" s="38" customFormat="1" ht="14.25" customHeight="1"/>
    <row r="917" s="38" customFormat="1" ht="14.25" customHeight="1"/>
    <row r="918" s="38" customFormat="1" ht="14.25" customHeight="1"/>
    <row r="919" s="38" customFormat="1" ht="14.25" customHeight="1"/>
    <row r="920" s="38" customFormat="1" ht="14.25" customHeight="1"/>
    <row r="921" s="38" customFormat="1" ht="14.25" customHeight="1"/>
    <row r="922" s="38" customFormat="1" ht="14.25" customHeight="1"/>
    <row r="923" s="38" customFormat="1" ht="14.25" customHeight="1"/>
    <row r="924" s="38" customFormat="1" ht="14.25" customHeight="1"/>
    <row r="925" s="38" customFormat="1" ht="14.25" customHeight="1"/>
    <row r="926" s="38" customFormat="1" ht="14.25" customHeight="1"/>
    <row r="927" s="38" customFormat="1" ht="14.25" customHeight="1"/>
    <row r="928" s="38" customFormat="1" ht="14.25" customHeight="1"/>
    <row r="929" s="38" customFormat="1" ht="14.25" customHeight="1"/>
    <row r="930" s="38" customFormat="1" ht="14.25" customHeight="1"/>
    <row r="931" s="38" customFormat="1" ht="14.25" customHeight="1"/>
    <row r="932" s="38" customFormat="1" ht="14.25" customHeight="1"/>
    <row r="933" s="38" customFormat="1" ht="14.25" customHeight="1"/>
    <row r="934" s="38" customFormat="1" ht="14.25" customHeight="1"/>
    <row r="935" s="38" customFormat="1" ht="14.25" customHeight="1"/>
    <row r="936" s="38" customFormat="1" ht="14.25" customHeight="1"/>
    <row r="937" s="38" customFormat="1" ht="14.25" customHeight="1"/>
    <row r="938" s="38" customFormat="1" ht="14.25" customHeight="1"/>
    <row r="939" s="38" customFormat="1" ht="14.25" customHeight="1"/>
    <row r="940" s="38" customFormat="1" ht="14.25" customHeight="1"/>
    <row r="941" s="38" customFormat="1" ht="14.25" customHeight="1"/>
    <row r="942" s="38" customFormat="1" ht="14.25" customHeight="1"/>
    <row r="943" s="38" customFormat="1" ht="14.25" customHeight="1"/>
    <row r="944" s="38" customFormat="1" ht="14.25" customHeight="1"/>
    <row r="945" s="38" customFormat="1" ht="14.25" customHeight="1"/>
    <row r="946" s="38" customFormat="1" ht="14.25" customHeight="1"/>
    <row r="947" s="38" customFormat="1" ht="14.25" customHeight="1"/>
    <row r="948" s="38" customFormat="1" ht="14.25" customHeight="1"/>
    <row r="949" s="38" customFormat="1" ht="14.25" customHeight="1"/>
    <row r="950" s="38" customFormat="1" ht="14.25" customHeight="1"/>
    <row r="951" s="38" customFormat="1" ht="14.25" customHeight="1"/>
    <row r="952" s="38" customFormat="1" ht="14.25" customHeight="1"/>
    <row r="953" s="38" customFormat="1" ht="14.25" customHeight="1"/>
    <row r="954" s="38" customFormat="1" ht="14.25" customHeight="1"/>
    <row r="955" s="38" customFormat="1" ht="14.25" customHeight="1"/>
    <row r="956" s="38" customFormat="1" ht="14.25" customHeight="1"/>
    <row r="957" s="38" customFormat="1" ht="14.25" customHeight="1"/>
    <row r="958" s="38" customFormat="1" ht="14.25" customHeight="1"/>
    <row r="959" s="38" customFormat="1" ht="14.25" customHeight="1"/>
    <row r="960" s="38" customFormat="1" ht="14.25" customHeight="1"/>
    <row r="961" s="38" customFormat="1" ht="14.25" customHeight="1"/>
    <row r="962" s="38" customFormat="1" ht="14.25" customHeight="1"/>
    <row r="963" s="38" customFormat="1" ht="14.25" customHeight="1"/>
    <row r="964" s="38" customFormat="1" ht="14.25" customHeight="1"/>
    <row r="965" s="38" customFormat="1" ht="14.25" customHeight="1"/>
    <row r="966" s="38" customFormat="1" ht="14.25" customHeight="1"/>
    <row r="967" s="38" customFormat="1" ht="14.25" customHeight="1"/>
    <row r="968" s="38" customFormat="1" ht="14.25" customHeight="1"/>
    <row r="969" s="38" customFormat="1" ht="14.25" customHeight="1"/>
    <row r="970" s="38" customFormat="1" ht="14.25" customHeight="1"/>
    <row r="971" s="38" customFormat="1" ht="14.25" customHeight="1"/>
    <row r="972" s="38" customFormat="1" ht="14.25" customHeight="1"/>
    <row r="973" s="38" customFormat="1" ht="14.25" customHeight="1"/>
    <row r="974" s="38" customFormat="1" ht="14.25" customHeight="1"/>
    <row r="975" s="38" customFormat="1" ht="14.25" customHeight="1"/>
    <row r="976" s="38" customFormat="1" ht="14.25" customHeight="1"/>
    <row r="977" s="38" customFormat="1" ht="14.25" customHeight="1"/>
    <row r="978" s="38" customFormat="1" ht="14.25" customHeight="1"/>
    <row r="979" s="38" customFormat="1" ht="14.25" customHeight="1"/>
    <row r="980" s="38" customFormat="1" ht="14.25" customHeight="1"/>
    <row r="981" s="38" customFormat="1" ht="14.25" customHeight="1"/>
    <row r="982" s="38" customFormat="1" ht="14.25" customHeight="1"/>
    <row r="983" s="38" customFormat="1" ht="14.25" customHeight="1"/>
    <row r="984" s="38" customFormat="1" ht="14.25" customHeight="1"/>
    <row r="985" s="38" customFormat="1" ht="14.25" customHeight="1"/>
    <row r="986" s="38" customFormat="1" ht="14.25" customHeight="1"/>
    <row r="987" s="38" customFormat="1" ht="14.25" customHeight="1"/>
    <row r="988" s="38" customFormat="1" ht="14.25" customHeight="1"/>
    <row r="989" s="38" customFormat="1" ht="14.25" customHeight="1"/>
    <row r="990" s="38" customFormat="1" ht="14.25" customHeight="1"/>
    <row r="991" s="38" customFormat="1" ht="14.25" customHeight="1"/>
    <row r="992" s="38" customFormat="1" ht="14.25" customHeight="1"/>
    <row r="993" s="38" customFormat="1" ht="14.25" customHeight="1"/>
    <row r="994" s="38" customFormat="1" ht="14.25" customHeight="1"/>
    <row r="995" s="38" customFormat="1" ht="14.25" customHeight="1"/>
    <row r="996" s="38" customFormat="1" ht="14.25" customHeight="1"/>
    <row r="997" s="38" customFormat="1" ht="14.25" customHeight="1"/>
    <row r="998" s="38" customFormat="1" ht="14.25" customHeight="1"/>
    <row r="999" s="38" customFormat="1" ht="14.25" customHeight="1"/>
    <row r="1000" s="38" customFormat="1" ht="14.25" customHeight="1"/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801B-3DA4-4532-9A27-8B304B630A40}">
  <dimension ref="A1:AA51"/>
  <sheetViews>
    <sheetView tabSelected="1" zoomScale="60" zoomScaleNormal="60" workbookViewId="0">
      <selection activeCell="P19" sqref="P19"/>
    </sheetView>
  </sheetViews>
  <sheetFormatPr defaultColWidth="9" defaultRowHeight="14.5"/>
  <cols>
    <col min="1" max="1" width="9" style="38"/>
    <col min="2" max="2" width="40.1796875" style="38" customWidth="1"/>
    <col min="3" max="9" width="9" style="38"/>
    <col min="10" max="10" width="9.26953125" style="38" customWidth="1"/>
    <col min="11" max="12" width="9" style="38"/>
    <col min="13" max="13" width="14" style="38" customWidth="1"/>
    <col min="14" max="14" width="10.7265625" style="38" customWidth="1"/>
    <col min="15" max="15" width="12.90625" style="38" customWidth="1"/>
    <col min="16" max="16" width="38.36328125" style="38" customWidth="1"/>
    <col min="17" max="22" width="9" style="38"/>
    <col min="23" max="23" width="11.54296875" style="38" customWidth="1"/>
    <col min="24" max="24" width="9" style="38"/>
    <col min="25" max="25" width="28.36328125" style="38" customWidth="1"/>
    <col min="26" max="16384" width="9" style="38"/>
  </cols>
  <sheetData>
    <row r="1" spans="1:18" ht="17.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1"/>
      <c r="R1" s="1"/>
    </row>
    <row r="2" spans="1:18" ht="17.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 t="s">
        <v>2</v>
      </c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2" t="s">
        <v>4</v>
      </c>
      <c r="B5" s="1"/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2" t="s">
        <v>5</v>
      </c>
      <c r="B6" s="1"/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 customHeight="1">
      <c r="A8" s="43" t="s">
        <v>6</v>
      </c>
      <c r="B8" s="44" t="s">
        <v>7</v>
      </c>
      <c r="C8" s="45" t="s">
        <v>8</v>
      </c>
      <c r="D8" s="45"/>
      <c r="E8" s="45"/>
      <c r="F8" s="45"/>
      <c r="G8" s="45"/>
      <c r="H8" s="46" t="s">
        <v>9</v>
      </c>
      <c r="I8" s="46"/>
      <c r="J8" s="46"/>
      <c r="K8" s="46"/>
      <c r="L8" s="46"/>
      <c r="M8" s="47" t="s">
        <v>10</v>
      </c>
      <c r="N8" s="48" t="s">
        <v>11</v>
      </c>
      <c r="O8" s="49"/>
      <c r="P8" s="50" t="s">
        <v>12</v>
      </c>
      <c r="R8" s="5" t="s">
        <v>13</v>
      </c>
    </row>
    <row r="9" spans="1:18" ht="14.5" customHeight="1">
      <c r="A9" s="43"/>
      <c r="B9" s="44"/>
      <c r="C9" s="51" t="s">
        <v>14</v>
      </c>
      <c r="D9" s="51" t="s">
        <v>15</v>
      </c>
      <c r="E9" s="51" t="s">
        <v>16</v>
      </c>
      <c r="F9" s="51" t="s">
        <v>17</v>
      </c>
      <c r="G9" s="51" t="s">
        <v>18</v>
      </c>
      <c r="H9" s="52" t="s">
        <v>14</v>
      </c>
      <c r="I9" s="52" t="s">
        <v>19</v>
      </c>
      <c r="J9" s="52" t="s">
        <v>16</v>
      </c>
      <c r="K9" s="52" t="s">
        <v>17</v>
      </c>
      <c r="L9" s="52" t="s">
        <v>18</v>
      </c>
      <c r="M9" s="47" t="s">
        <v>20</v>
      </c>
      <c r="N9" s="53" t="s">
        <v>21</v>
      </c>
      <c r="O9" s="53" t="s">
        <v>22</v>
      </c>
      <c r="P9" s="54"/>
      <c r="R9" s="2" t="s">
        <v>23</v>
      </c>
    </row>
    <row r="10" spans="1:18">
      <c r="A10" s="41">
        <v>1</v>
      </c>
      <c r="B10" s="39" t="s">
        <v>75</v>
      </c>
      <c r="C10" s="55">
        <v>95</v>
      </c>
      <c r="D10" s="41">
        <v>85</v>
      </c>
      <c r="E10" s="56"/>
      <c r="F10" s="57"/>
      <c r="G10" s="57"/>
      <c r="H10" s="55">
        <v>95</v>
      </c>
      <c r="I10" s="41">
        <v>88</v>
      </c>
      <c r="J10" s="58"/>
      <c r="K10" s="58"/>
      <c r="L10" s="58"/>
      <c r="M10" s="59">
        <v>90</v>
      </c>
      <c r="N10" s="56">
        <f t="shared" ref="N10:N40" si="0">AVERAGE(C10:G10)</f>
        <v>90</v>
      </c>
      <c r="O10" s="56">
        <f t="shared" ref="O10:O44" si="1">AVERAGE(H10:L10)</f>
        <v>91.5</v>
      </c>
      <c r="P10" s="40">
        <f>(M10*30/100)+(N10*35/100)+(O10*35/100)</f>
        <v>90.525000000000006</v>
      </c>
      <c r="R10" s="2" t="s">
        <v>25</v>
      </c>
    </row>
    <row r="11" spans="1:18">
      <c r="A11" s="41">
        <v>2</v>
      </c>
      <c r="B11" s="39" t="s">
        <v>76</v>
      </c>
      <c r="C11" s="55">
        <v>95</v>
      </c>
      <c r="D11" s="41">
        <v>85</v>
      </c>
      <c r="E11" s="40"/>
      <c r="F11" s="60"/>
      <c r="G11" s="60"/>
      <c r="H11" s="55">
        <v>95</v>
      </c>
      <c r="I11" s="41">
        <v>85</v>
      </c>
      <c r="J11" s="41"/>
      <c r="K11" s="41"/>
      <c r="L11" s="41"/>
      <c r="M11" s="61">
        <v>97</v>
      </c>
      <c r="N11" s="56">
        <f t="shared" si="0"/>
        <v>90</v>
      </c>
      <c r="O11" s="56">
        <f t="shared" si="1"/>
        <v>90</v>
      </c>
      <c r="P11" s="40">
        <f t="shared" ref="P11:P44" si="2">(M11*30/100)+(N11*35/100)+(O11*35/100)</f>
        <v>92.1</v>
      </c>
      <c r="R11" s="2" t="s">
        <v>27</v>
      </c>
    </row>
    <row r="12" spans="1:18">
      <c r="A12" s="41">
        <v>3</v>
      </c>
      <c r="B12" s="39" t="s">
        <v>77</v>
      </c>
      <c r="C12" s="55">
        <v>95</v>
      </c>
      <c r="D12" s="41">
        <v>85</v>
      </c>
      <c r="E12" s="40"/>
      <c r="F12" s="60"/>
      <c r="G12" s="60"/>
      <c r="H12" s="55">
        <v>95</v>
      </c>
      <c r="I12" s="41">
        <v>85</v>
      </c>
      <c r="J12" s="41"/>
      <c r="K12" s="41"/>
      <c r="L12" s="41"/>
      <c r="M12" s="61">
        <v>93</v>
      </c>
      <c r="N12" s="56">
        <f t="shared" si="0"/>
        <v>90</v>
      </c>
      <c r="O12" s="56">
        <f t="shared" si="1"/>
        <v>90</v>
      </c>
      <c r="P12" s="40">
        <f t="shared" si="2"/>
        <v>90.9</v>
      </c>
      <c r="R12" s="2" t="s">
        <v>29</v>
      </c>
    </row>
    <row r="13" spans="1:18">
      <c r="A13" s="41">
        <v>4</v>
      </c>
      <c r="B13" s="39" t="s">
        <v>78</v>
      </c>
      <c r="C13" s="55">
        <v>95</v>
      </c>
      <c r="D13" s="41">
        <v>85</v>
      </c>
      <c r="E13" s="40"/>
      <c r="F13" s="60"/>
      <c r="G13" s="60"/>
      <c r="H13" s="55">
        <v>95</v>
      </c>
      <c r="I13" s="41">
        <v>85</v>
      </c>
      <c r="J13" s="41"/>
      <c r="K13" s="41"/>
      <c r="L13" s="41"/>
      <c r="M13" s="61">
        <v>89</v>
      </c>
      <c r="N13" s="56">
        <f t="shared" si="0"/>
        <v>90</v>
      </c>
      <c r="O13" s="56">
        <f t="shared" si="1"/>
        <v>90</v>
      </c>
      <c r="P13" s="40">
        <f t="shared" si="2"/>
        <v>89.7</v>
      </c>
      <c r="R13" s="2" t="s">
        <v>31</v>
      </c>
    </row>
    <row r="14" spans="1:18">
      <c r="A14" s="41">
        <v>5</v>
      </c>
      <c r="B14" s="39" t="s">
        <v>79</v>
      </c>
      <c r="C14" s="55">
        <v>95</v>
      </c>
      <c r="D14" s="41">
        <v>85</v>
      </c>
      <c r="E14" s="40"/>
      <c r="F14" s="60"/>
      <c r="G14" s="60"/>
      <c r="H14" s="55">
        <v>95</v>
      </c>
      <c r="I14" s="41">
        <v>85</v>
      </c>
      <c r="J14" s="41"/>
      <c r="K14" s="41"/>
      <c r="L14" s="41"/>
      <c r="M14" s="61">
        <v>75</v>
      </c>
      <c r="N14" s="56">
        <f t="shared" si="0"/>
        <v>90</v>
      </c>
      <c r="O14" s="56">
        <f t="shared" si="1"/>
        <v>90</v>
      </c>
      <c r="P14" s="40">
        <f t="shared" si="2"/>
        <v>85.5</v>
      </c>
      <c r="R14" s="2" t="s">
        <v>33</v>
      </c>
    </row>
    <row r="15" spans="1:18">
      <c r="A15" s="41">
        <v>6</v>
      </c>
      <c r="B15" s="39" t="s">
        <v>80</v>
      </c>
      <c r="C15" s="55">
        <v>95</v>
      </c>
      <c r="D15" s="41">
        <v>85</v>
      </c>
      <c r="E15" s="40"/>
      <c r="F15" s="60"/>
      <c r="G15" s="60"/>
      <c r="H15" s="55">
        <v>95</v>
      </c>
      <c r="I15" s="41">
        <v>85</v>
      </c>
      <c r="J15" s="41"/>
      <c r="K15" s="41"/>
      <c r="L15" s="41"/>
      <c r="M15" s="62">
        <v>88</v>
      </c>
      <c r="N15" s="56">
        <f t="shared" si="0"/>
        <v>90</v>
      </c>
      <c r="O15" s="56">
        <f t="shared" si="1"/>
        <v>90</v>
      </c>
      <c r="P15" s="40">
        <f t="shared" si="2"/>
        <v>89.4</v>
      </c>
      <c r="R15" s="21"/>
    </row>
    <row r="16" spans="1:18">
      <c r="A16" s="41">
        <v>7</v>
      </c>
      <c r="B16" s="39" t="s">
        <v>81</v>
      </c>
      <c r="C16" s="55">
        <v>95</v>
      </c>
      <c r="D16" s="41">
        <v>85</v>
      </c>
      <c r="E16" s="40"/>
      <c r="F16" s="60"/>
      <c r="G16" s="60"/>
      <c r="H16" s="55">
        <v>95</v>
      </c>
      <c r="I16" s="41">
        <v>85</v>
      </c>
      <c r="J16" s="41"/>
      <c r="K16" s="41"/>
      <c r="L16" s="41"/>
      <c r="M16" s="61">
        <v>75</v>
      </c>
      <c r="N16" s="56">
        <f t="shared" si="0"/>
        <v>90</v>
      </c>
      <c r="O16" s="56">
        <f t="shared" si="1"/>
        <v>90</v>
      </c>
      <c r="P16" s="40">
        <f t="shared" si="2"/>
        <v>85.5</v>
      </c>
      <c r="R16" s="21"/>
    </row>
    <row r="17" spans="1:18">
      <c r="A17" s="41">
        <v>8</v>
      </c>
      <c r="B17" s="39" t="s">
        <v>82</v>
      </c>
      <c r="C17" s="55">
        <v>95</v>
      </c>
      <c r="D17" s="41">
        <v>85</v>
      </c>
      <c r="E17" s="40"/>
      <c r="F17" s="60"/>
      <c r="G17" s="60"/>
      <c r="H17" s="55">
        <v>95</v>
      </c>
      <c r="I17" s="41">
        <v>85</v>
      </c>
      <c r="J17" s="41"/>
      <c r="K17" s="41"/>
      <c r="L17" s="41"/>
      <c r="M17" s="61">
        <v>75</v>
      </c>
      <c r="N17" s="56">
        <f t="shared" si="0"/>
        <v>90</v>
      </c>
      <c r="O17" s="56">
        <f t="shared" si="1"/>
        <v>90</v>
      </c>
      <c r="P17" s="40">
        <f t="shared" si="2"/>
        <v>85.5</v>
      </c>
      <c r="R17" s="21"/>
    </row>
    <row r="18" spans="1:18">
      <c r="A18" s="41">
        <v>9</v>
      </c>
      <c r="B18" s="39" t="s">
        <v>83</v>
      </c>
      <c r="C18" s="55">
        <v>95</v>
      </c>
      <c r="D18" s="41">
        <v>85</v>
      </c>
      <c r="E18" s="40"/>
      <c r="F18" s="60"/>
      <c r="G18" s="60"/>
      <c r="H18" s="55">
        <v>95</v>
      </c>
      <c r="I18" s="41">
        <v>85</v>
      </c>
      <c r="J18" s="41"/>
      <c r="K18" s="41"/>
      <c r="L18" s="41"/>
      <c r="M18" s="61">
        <v>75</v>
      </c>
      <c r="N18" s="56">
        <f t="shared" si="0"/>
        <v>90</v>
      </c>
      <c r="O18" s="56">
        <f t="shared" si="1"/>
        <v>90</v>
      </c>
      <c r="P18" s="40">
        <f t="shared" si="2"/>
        <v>85.5</v>
      </c>
      <c r="R18" s="21"/>
    </row>
    <row r="19" spans="1:18">
      <c r="A19" s="41">
        <v>10</v>
      </c>
      <c r="B19" s="39" t="s">
        <v>84</v>
      </c>
      <c r="C19" s="55">
        <v>95</v>
      </c>
      <c r="D19" s="41">
        <v>85</v>
      </c>
      <c r="E19" s="40"/>
      <c r="F19" s="60"/>
      <c r="G19" s="60"/>
      <c r="H19" s="55">
        <v>95</v>
      </c>
      <c r="I19" s="41">
        <v>85</v>
      </c>
      <c r="J19" s="41"/>
      <c r="K19" s="41"/>
      <c r="L19" s="41"/>
      <c r="M19" s="61">
        <v>88</v>
      </c>
      <c r="N19" s="56">
        <f t="shared" si="0"/>
        <v>90</v>
      </c>
      <c r="O19" s="56">
        <f t="shared" si="1"/>
        <v>90</v>
      </c>
      <c r="P19" s="40">
        <f t="shared" si="2"/>
        <v>89.4</v>
      </c>
      <c r="R19" s="21"/>
    </row>
    <row r="20" spans="1:18">
      <c r="A20" s="41">
        <v>11</v>
      </c>
      <c r="B20" s="39" t="s">
        <v>85</v>
      </c>
      <c r="C20" s="55">
        <v>95</v>
      </c>
      <c r="D20" s="41">
        <v>85</v>
      </c>
      <c r="E20" s="40"/>
      <c r="F20" s="60"/>
      <c r="G20" s="60"/>
      <c r="H20" s="55">
        <v>95</v>
      </c>
      <c r="I20" s="41">
        <v>85</v>
      </c>
      <c r="J20" s="41"/>
      <c r="K20" s="41"/>
      <c r="L20" s="41"/>
      <c r="M20" s="61">
        <v>75</v>
      </c>
      <c r="N20" s="56">
        <f t="shared" si="0"/>
        <v>90</v>
      </c>
      <c r="O20" s="56">
        <f t="shared" si="1"/>
        <v>90</v>
      </c>
      <c r="P20" s="40">
        <f t="shared" si="2"/>
        <v>85.5</v>
      </c>
      <c r="R20" s="21"/>
    </row>
    <row r="21" spans="1:18">
      <c r="A21" s="41">
        <v>12</v>
      </c>
      <c r="B21" s="39" t="s">
        <v>86</v>
      </c>
      <c r="C21" s="55">
        <v>95</v>
      </c>
      <c r="D21" s="41">
        <v>85</v>
      </c>
      <c r="E21" s="40"/>
      <c r="F21" s="60"/>
      <c r="G21" s="60"/>
      <c r="H21" s="55">
        <v>95</v>
      </c>
      <c r="I21" s="41">
        <v>85</v>
      </c>
      <c r="J21" s="41"/>
      <c r="K21" s="41"/>
      <c r="L21" s="41"/>
      <c r="M21" s="61">
        <v>75</v>
      </c>
      <c r="N21" s="56">
        <f t="shared" si="0"/>
        <v>90</v>
      </c>
      <c r="O21" s="56">
        <f t="shared" si="1"/>
        <v>90</v>
      </c>
      <c r="P21" s="40">
        <f t="shared" si="2"/>
        <v>85.5</v>
      </c>
      <c r="R21" s="21"/>
    </row>
    <row r="22" spans="1:18">
      <c r="A22" s="41">
        <v>13</v>
      </c>
      <c r="B22" s="39" t="s">
        <v>87</v>
      </c>
      <c r="C22" s="55">
        <v>95</v>
      </c>
      <c r="D22" s="41">
        <v>85</v>
      </c>
      <c r="E22" s="40"/>
      <c r="F22" s="60"/>
      <c r="G22" s="60"/>
      <c r="H22" s="55">
        <v>95</v>
      </c>
      <c r="I22" s="41">
        <v>85</v>
      </c>
      <c r="J22" s="41"/>
      <c r="K22" s="41"/>
      <c r="L22" s="41"/>
      <c r="M22" s="61">
        <v>97</v>
      </c>
      <c r="N22" s="56">
        <f t="shared" si="0"/>
        <v>90</v>
      </c>
      <c r="O22" s="56">
        <f t="shared" si="1"/>
        <v>90</v>
      </c>
      <c r="P22" s="40">
        <f t="shared" si="2"/>
        <v>92.1</v>
      </c>
      <c r="R22" s="21"/>
    </row>
    <row r="23" spans="1:18">
      <c r="A23" s="41">
        <v>14</v>
      </c>
      <c r="B23" s="39" t="s">
        <v>88</v>
      </c>
      <c r="C23" s="55">
        <v>95</v>
      </c>
      <c r="D23" s="41">
        <v>85</v>
      </c>
      <c r="E23" s="40"/>
      <c r="F23" s="60"/>
      <c r="G23" s="60"/>
      <c r="H23" s="55">
        <v>95</v>
      </c>
      <c r="I23" s="41">
        <v>85</v>
      </c>
      <c r="J23" s="41"/>
      <c r="K23" s="41"/>
      <c r="L23" s="41"/>
      <c r="M23" s="61">
        <v>75</v>
      </c>
      <c r="N23" s="56">
        <f t="shared" si="0"/>
        <v>90</v>
      </c>
      <c r="O23" s="56">
        <f t="shared" si="1"/>
        <v>90</v>
      </c>
      <c r="P23" s="40">
        <f t="shared" si="2"/>
        <v>85.5</v>
      </c>
      <c r="R23" s="21"/>
    </row>
    <row r="24" spans="1:18">
      <c r="A24" s="41">
        <v>15</v>
      </c>
      <c r="B24" s="39" t="s">
        <v>89</v>
      </c>
      <c r="C24" s="55">
        <v>95</v>
      </c>
      <c r="D24" s="41">
        <v>85</v>
      </c>
      <c r="E24" s="40"/>
      <c r="F24" s="60"/>
      <c r="G24" s="60"/>
      <c r="H24" s="55">
        <v>95</v>
      </c>
      <c r="I24" s="41">
        <v>85</v>
      </c>
      <c r="J24" s="41"/>
      <c r="K24" s="41"/>
      <c r="L24" s="41"/>
      <c r="M24" s="61">
        <v>89</v>
      </c>
      <c r="N24" s="56">
        <f t="shared" si="0"/>
        <v>90</v>
      </c>
      <c r="O24" s="56">
        <f t="shared" si="1"/>
        <v>90</v>
      </c>
      <c r="P24" s="40">
        <f t="shared" si="2"/>
        <v>89.7</v>
      </c>
      <c r="R24" s="21"/>
    </row>
    <row r="25" spans="1:18">
      <c r="A25" s="41">
        <v>16</v>
      </c>
      <c r="B25" s="39" t="s">
        <v>90</v>
      </c>
      <c r="C25" s="55">
        <v>95</v>
      </c>
      <c r="D25" s="41">
        <v>85</v>
      </c>
      <c r="E25" s="40"/>
      <c r="F25" s="60"/>
      <c r="G25" s="60"/>
      <c r="H25" s="55">
        <v>95</v>
      </c>
      <c r="I25" s="41">
        <v>85</v>
      </c>
      <c r="J25" s="41"/>
      <c r="K25" s="41"/>
      <c r="L25" s="41"/>
      <c r="M25" s="61">
        <v>75</v>
      </c>
      <c r="N25" s="56">
        <f t="shared" si="0"/>
        <v>90</v>
      </c>
      <c r="O25" s="56">
        <f t="shared" si="1"/>
        <v>90</v>
      </c>
      <c r="P25" s="40">
        <f t="shared" si="2"/>
        <v>85.5</v>
      </c>
      <c r="R25" s="21"/>
    </row>
    <row r="26" spans="1:18">
      <c r="A26" s="41">
        <v>17</v>
      </c>
      <c r="B26" s="39" t="s">
        <v>91</v>
      </c>
      <c r="C26" s="55">
        <v>95</v>
      </c>
      <c r="D26" s="41">
        <v>85</v>
      </c>
      <c r="E26" s="40"/>
      <c r="F26" s="60"/>
      <c r="G26" s="60"/>
      <c r="H26" s="55">
        <v>95</v>
      </c>
      <c r="I26" s="41">
        <v>85</v>
      </c>
      <c r="J26" s="41"/>
      <c r="K26" s="41"/>
      <c r="L26" s="41"/>
      <c r="M26" s="61">
        <v>86</v>
      </c>
      <c r="N26" s="56">
        <f t="shared" si="0"/>
        <v>90</v>
      </c>
      <c r="O26" s="56">
        <f t="shared" si="1"/>
        <v>90</v>
      </c>
      <c r="P26" s="40">
        <f t="shared" si="2"/>
        <v>88.8</v>
      </c>
      <c r="R26" s="21"/>
    </row>
    <row r="27" spans="1:18">
      <c r="A27" s="41">
        <v>18</v>
      </c>
      <c r="B27" s="39" t="s">
        <v>92</v>
      </c>
      <c r="C27" s="55">
        <v>95</v>
      </c>
      <c r="D27" s="41">
        <v>85</v>
      </c>
      <c r="E27" s="40"/>
      <c r="F27" s="60"/>
      <c r="G27" s="60"/>
      <c r="H27" s="55">
        <v>95</v>
      </c>
      <c r="I27" s="41">
        <v>85</v>
      </c>
      <c r="J27" s="41"/>
      <c r="K27" s="41"/>
      <c r="L27" s="41"/>
      <c r="M27" s="61">
        <v>75</v>
      </c>
      <c r="N27" s="56">
        <f t="shared" si="0"/>
        <v>90</v>
      </c>
      <c r="O27" s="56">
        <f t="shared" si="1"/>
        <v>90</v>
      </c>
      <c r="P27" s="40">
        <f t="shared" si="2"/>
        <v>85.5</v>
      </c>
      <c r="R27" s="21"/>
    </row>
    <row r="28" spans="1:18">
      <c r="A28" s="41">
        <v>19</v>
      </c>
      <c r="B28" s="39" t="s">
        <v>93</v>
      </c>
      <c r="C28" s="55">
        <v>95</v>
      </c>
      <c r="D28" s="41">
        <v>85</v>
      </c>
      <c r="E28" s="40"/>
      <c r="F28" s="60"/>
      <c r="G28" s="60"/>
      <c r="H28" s="55">
        <v>95</v>
      </c>
      <c r="I28" s="41">
        <v>85</v>
      </c>
      <c r="J28" s="41"/>
      <c r="K28" s="41"/>
      <c r="L28" s="41"/>
      <c r="M28" s="61">
        <v>97</v>
      </c>
      <c r="N28" s="56">
        <f t="shared" si="0"/>
        <v>90</v>
      </c>
      <c r="O28" s="56">
        <f t="shared" si="1"/>
        <v>90</v>
      </c>
      <c r="P28" s="40">
        <f t="shared" si="2"/>
        <v>92.1</v>
      </c>
      <c r="R28" s="21"/>
    </row>
    <row r="29" spans="1:18">
      <c r="A29" s="41">
        <v>20</v>
      </c>
      <c r="B29" s="39" t="s">
        <v>94</v>
      </c>
      <c r="C29" s="55">
        <v>95</v>
      </c>
      <c r="D29" s="41">
        <v>85</v>
      </c>
      <c r="E29" s="40"/>
      <c r="F29" s="60"/>
      <c r="G29" s="60"/>
      <c r="H29" s="55">
        <v>95</v>
      </c>
      <c r="I29" s="41">
        <v>85</v>
      </c>
      <c r="J29" s="41"/>
      <c r="K29" s="41"/>
      <c r="L29" s="41"/>
      <c r="M29" s="61">
        <v>80</v>
      </c>
      <c r="N29" s="56">
        <f t="shared" si="0"/>
        <v>90</v>
      </c>
      <c r="O29" s="56">
        <f t="shared" si="1"/>
        <v>90</v>
      </c>
      <c r="P29" s="40">
        <f t="shared" si="2"/>
        <v>87</v>
      </c>
      <c r="R29" s="21"/>
    </row>
    <row r="30" spans="1:18">
      <c r="A30" s="41">
        <v>21</v>
      </c>
      <c r="B30" s="39" t="s">
        <v>95</v>
      </c>
      <c r="C30" s="55">
        <v>95</v>
      </c>
      <c r="D30" s="41">
        <v>85</v>
      </c>
      <c r="E30" s="40"/>
      <c r="F30" s="60"/>
      <c r="G30" s="60"/>
      <c r="H30" s="55">
        <v>95</v>
      </c>
      <c r="I30" s="41">
        <v>85</v>
      </c>
      <c r="J30" s="41"/>
      <c r="K30" s="41"/>
      <c r="L30" s="41"/>
      <c r="M30" s="61">
        <v>94</v>
      </c>
      <c r="N30" s="56">
        <f t="shared" si="0"/>
        <v>90</v>
      </c>
      <c r="O30" s="56">
        <f t="shared" si="1"/>
        <v>90</v>
      </c>
      <c r="P30" s="40">
        <f t="shared" si="2"/>
        <v>91.2</v>
      </c>
      <c r="R30" s="21"/>
    </row>
    <row r="31" spans="1:18">
      <c r="A31" s="41">
        <v>22</v>
      </c>
      <c r="B31" s="39" t="s">
        <v>96</v>
      </c>
      <c r="C31" s="55">
        <v>95</v>
      </c>
      <c r="D31" s="41">
        <v>85</v>
      </c>
      <c r="E31" s="40"/>
      <c r="F31" s="60"/>
      <c r="G31" s="60"/>
      <c r="H31" s="55">
        <v>95</v>
      </c>
      <c r="I31" s="41">
        <v>85</v>
      </c>
      <c r="J31" s="41"/>
      <c r="K31" s="41"/>
      <c r="L31" s="41"/>
      <c r="M31" s="61">
        <v>96</v>
      </c>
      <c r="N31" s="56">
        <f t="shared" si="0"/>
        <v>90</v>
      </c>
      <c r="O31" s="56">
        <f t="shared" si="1"/>
        <v>90</v>
      </c>
      <c r="P31" s="40">
        <f t="shared" si="2"/>
        <v>91.8</v>
      </c>
      <c r="R31" s="21"/>
    </row>
    <row r="32" spans="1:18">
      <c r="A32" s="41">
        <v>23</v>
      </c>
      <c r="B32" s="63"/>
      <c r="C32" s="55"/>
      <c r="D32" s="41"/>
      <c r="E32" s="40"/>
      <c r="F32" s="60"/>
      <c r="G32" s="60"/>
      <c r="H32" s="55"/>
      <c r="I32" s="41"/>
      <c r="J32" s="41"/>
      <c r="K32" s="41"/>
      <c r="L32" s="41"/>
      <c r="M32" s="61"/>
      <c r="N32" s="56" t="e">
        <f t="shared" si="0"/>
        <v>#DIV/0!</v>
      </c>
      <c r="O32" s="56" t="e">
        <f t="shared" si="1"/>
        <v>#DIV/0!</v>
      </c>
      <c r="P32" s="40" t="e">
        <f t="shared" si="2"/>
        <v>#DIV/0!</v>
      </c>
      <c r="R32" s="21"/>
    </row>
    <row r="33" spans="1:27">
      <c r="A33" s="41">
        <v>24</v>
      </c>
      <c r="B33" s="63"/>
      <c r="C33" s="55"/>
      <c r="D33" s="41"/>
      <c r="E33" s="40"/>
      <c r="F33" s="60"/>
      <c r="G33" s="60"/>
      <c r="H33" s="55"/>
      <c r="I33" s="41"/>
      <c r="J33" s="41"/>
      <c r="K33" s="41"/>
      <c r="L33" s="41"/>
      <c r="M33" s="61"/>
      <c r="N33" s="56" t="e">
        <f t="shared" si="0"/>
        <v>#DIV/0!</v>
      </c>
      <c r="O33" s="56" t="e">
        <f t="shared" si="1"/>
        <v>#DIV/0!</v>
      </c>
      <c r="P33" s="40" t="e">
        <f t="shared" si="2"/>
        <v>#DIV/0!</v>
      </c>
      <c r="R33" s="21"/>
    </row>
    <row r="34" spans="1:27">
      <c r="A34" s="41">
        <v>25</v>
      </c>
      <c r="B34" s="63"/>
      <c r="C34" s="55"/>
      <c r="D34" s="41"/>
      <c r="E34" s="40"/>
      <c r="F34" s="60"/>
      <c r="G34" s="60"/>
      <c r="H34" s="55"/>
      <c r="I34" s="41"/>
      <c r="J34" s="41"/>
      <c r="K34" s="41"/>
      <c r="L34" s="41"/>
      <c r="M34" s="61"/>
      <c r="N34" s="56" t="e">
        <f t="shared" si="0"/>
        <v>#DIV/0!</v>
      </c>
      <c r="O34" s="56" t="e">
        <f t="shared" si="1"/>
        <v>#DIV/0!</v>
      </c>
      <c r="P34" s="40" t="e">
        <f t="shared" si="2"/>
        <v>#DIV/0!</v>
      </c>
      <c r="R34" s="21"/>
    </row>
    <row r="35" spans="1:27">
      <c r="A35" s="41">
        <v>26</v>
      </c>
      <c r="B35" s="63"/>
      <c r="C35" s="55"/>
      <c r="D35" s="41"/>
      <c r="E35" s="40"/>
      <c r="F35" s="60"/>
      <c r="G35" s="60"/>
      <c r="H35" s="55"/>
      <c r="I35" s="41"/>
      <c r="J35" s="41"/>
      <c r="K35" s="64"/>
      <c r="L35" s="64"/>
      <c r="M35" s="61"/>
      <c r="N35" s="56" t="e">
        <f t="shared" si="0"/>
        <v>#DIV/0!</v>
      </c>
      <c r="O35" s="56" t="e">
        <f t="shared" si="1"/>
        <v>#DIV/0!</v>
      </c>
      <c r="P35" s="40" t="e">
        <f t="shared" si="2"/>
        <v>#DIV/0!</v>
      </c>
      <c r="R35" s="21"/>
    </row>
    <row r="36" spans="1:27">
      <c r="A36" s="41">
        <v>27</v>
      </c>
      <c r="B36" s="63"/>
      <c r="C36" s="55"/>
      <c r="D36" s="41"/>
      <c r="E36" s="40"/>
      <c r="F36" s="60"/>
      <c r="G36" s="60"/>
      <c r="H36" s="55"/>
      <c r="I36" s="41"/>
      <c r="J36" s="41"/>
      <c r="K36" s="41"/>
      <c r="L36" s="41"/>
      <c r="M36" s="61"/>
      <c r="N36" s="56" t="e">
        <f t="shared" si="0"/>
        <v>#DIV/0!</v>
      </c>
      <c r="O36" s="56" t="e">
        <f t="shared" si="1"/>
        <v>#DIV/0!</v>
      </c>
      <c r="P36" s="40" t="e">
        <f t="shared" si="2"/>
        <v>#DIV/0!</v>
      </c>
      <c r="R36" s="21"/>
    </row>
    <row r="37" spans="1:27">
      <c r="A37" s="41">
        <v>28</v>
      </c>
      <c r="B37" s="63"/>
      <c r="C37" s="55"/>
      <c r="D37" s="41"/>
      <c r="E37" s="40"/>
      <c r="F37" s="60"/>
      <c r="G37" s="60"/>
      <c r="H37" s="55"/>
      <c r="I37" s="41"/>
      <c r="J37" s="41"/>
      <c r="K37" s="41"/>
      <c r="L37" s="41"/>
      <c r="M37" s="61"/>
      <c r="N37" s="56" t="e">
        <f t="shared" si="0"/>
        <v>#DIV/0!</v>
      </c>
      <c r="O37" s="56" t="e">
        <f t="shared" si="1"/>
        <v>#DIV/0!</v>
      </c>
      <c r="P37" s="40" t="e">
        <f t="shared" si="2"/>
        <v>#DIV/0!</v>
      </c>
      <c r="R37" s="21"/>
    </row>
    <row r="38" spans="1:27">
      <c r="A38" s="41">
        <v>29</v>
      </c>
      <c r="B38" s="63"/>
      <c r="C38" s="55"/>
      <c r="D38" s="41"/>
      <c r="E38" s="41"/>
      <c r="F38" s="60"/>
      <c r="G38" s="60"/>
      <c r="H38" s="55"/>
      <c r="I38" s="41"/>
      <c r="J38" s="41"/>
      <c r="K38" s="41"/>
      <c r="L38" s="41"/>
      <c r="M38" s="61"/>
      <c r="N38" s="56" t="e">
        <f t="shared" si="0"/>
        <v>#DIV/0!</v>
      </c>
      <c r="O38" s="56" t="e">
        <f t="shared" si="1"/>
        <v>#DIV/0!</v>
      </c>
      <c r="P38" s="40" t="e">
        <f t="shared" si="2"/>
        <v>#DIV/0!</v>
      </c>
      <c r="R38" s="21"/>
    </row>
    <row r="39" spans="1:27">
      <c r="A39" s="41">
        <v>30</v>
      </c>
      <c r="B39" s="63"/>
      <c r="C39" s="55"/>
      <c r="D39" s="41"/>
      <c r="E39" s="61"/>
      <c r="F39" s="61"/>
      <c r="G39" s="61"/>
      <c r="H39" s="55"/>
      <c r="I39" s="41"/>
      <c r="J39" s="61"/>
      <c r="K39" s="61"/>
      <c r="L39" s="61"/>
      <c r="M39" s="61"/>
      <c r="N39" s="56" t="e">
        <f t="shared" si="0"/>
        <v>#DIV/0!</v>
      </c>
      <c r="O39" s="56" t="e">
        <f t="shared" si="1"/>
        <v>#DIV/0!</v>
      </c>
      <c r="P39" s="40" t="e">
        <f t="shared" si="2"/>
        <v>#DIV/0!</v>
      </c>
      <c r="Q39" s="1"/>
      <c r="R39" s="1"/>
      <c r="X39" s="65"/>
      <c r="AA39" s="65"/>
    </row>
    <row r="40" spans="1:27">
      <c r="A40" s="41">
        <v>31</v>
      </c>
      <c r="B40" s="63"/>
      <c r="C40" s="55"/>
      <c r="D40" s="41"/>
      <c r="E40" s="61"/>
      <c r="F40" s="61"/>
      <c r="G40" s="61"/>
      <c r="H40" s="55"/>
      <c r="I40" s="41"/>
      <c r="J40" s="61"/>
      <c r="K40" s="61"/>
      <c r="L40" s="61"/>
      <c r="M40" s="61"/>
      <c r="N40" s="56" t="e">
        <f t="shared" si="0"/>
        <v>#DIV/0!</v>
      </c>
      <c r="O40" s="56" t="e">
        <f t="shared" si="1"/>
        <v>#DIV/0!</v>
      </c>
      <c r="P40" s="40" t="e">
        <f t="shared" si="2"/>
        <v>#DIV/0!</v>
      </c>
      <c r="Q40" s="1"/>
      <c r="R40" s="1"/>
    </row>
    <row r="41" spans="1:27">
      <c r="A41" s="41">
        <v>32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1"/>
      <c r="O41" s="56" t="e">
        <f t="shared" si="1"/>
        <v>#DIV/0!</v>
      </c>
      <c r="P41" s="40" t="e">
        <f t="shared" si="2"/>
        <v>#DIV/0!</v>
      </c>
      <c r="Q41" s="1"/>
      <c r="R41" s="1"/>
    </row>
    <row r="42" spans="1:27">
      <c r="A42" s="41">
        <v>33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1"/>
      <c r="O42" s="56" t="e">
        <f t="shared" si="1"/>
        <v>#DIV/0!</v>
      </c>
      <c r="P42" s="40" t="e">
        <f t="shared" si="2"/>
        <v>#DIV/0!</v>
      </c>
      <c r="Q42" s="1"/>
      <c r="R42" s="1"/>
    </row>
    <row r="43" spans="1:27">
      <c r="A43" s="41">
        <v>34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1"/>
      <c r="O43" s="56" t="e">
        <f t="shared" si="1"/>
        <v>#DIV/0!</v>
      </c>
      <c r="P43" s="40" t="e">
        <f t="shared" si="2"/>
        <v>#DIV/0!</v>
      </c>
      <c r="Q43" s="1"/>
      <c r="R43" s="1"/>
    </row>
    <row r="44" spans="1:27">
      <c r="A44" s="41">
        <v>35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1"/>
      <c r="O44" s="56" t="e">
        <f t="shared" si="1"/>
        <v>#DIV/0!</v>
      </c>
      <c r="P44" s="40" t="e">
        <f t="shared" si="2"/>
        <v>#DIV/0!</v>
      </c>
      <c r="Q44" s="1"/>
      <c r="R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</row>
    <row r="47" spans="1:27">
      <c r="N47" s="2" t="s">
        <v>51</v>
      </c>
    </row>
    <row r="48" spans="1:27">
      <c r="N48" s="2" t="s">
        <v>52</v>
      </c>
    </row>
    <row r="49" spans="14:14">
      <c r="N49" s="2"/>
    </row>
    <row r="50" spans="14:14">
      <c r="N50" s="2"/>
    </row>
    <row r="51" spans="14:14">
      <c r="N51" s="2" t="s">
        <v>53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Intan</vt:lpstr>
      <vt:lpstr>Kyanite</vt:lpstr>
      <vt:lpstr>Safir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2026-10-20T15:31:00Z</dcterms:created>
  <dcterms:modified xsi:type="dcterms:W3CDTF">2026-10-27T10:56:25Z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1033-12.1.25333.25333</vt:lpwstr>
  </property>
  <property fmtid="{D5CDD505-2E9C-101B-9397-08002B2CF9AE}" pid="3" name="CalculationRule">
    <vt:i4>0</vt:i4>
  </property>
  <property fmtid="{D5CDD505-2E9C-101B-9397-08002B2CF9AE}" pid="4" name="ICV">
    <vt:lpwstr>398B62FDAEB60301F6CAD66AD7D9D460_41</vt:lpwstr>
  </property>
</Properties>
</file>