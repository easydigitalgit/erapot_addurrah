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DKN STS 1 2026-2027\"/>
    </mc:Choice>
  </mc:AlternateContent>
  <bookViews>
    <workbookView xWindow="0" yWindow="0" windowWidth="24000" windowHeight="8775"/>
  </bookViews>
  <sheets>
    <sheet name="8 TOPAZ" sheetId="9" r:id="rId1"/>
    <sheet name="8 INTAN" sheetId="10" r:id="rId2"/>
    <sheet name="8 KYANITE" sheetId="11" r:id="rId3"/>
    <sheet name="8 SAFIR" sheetId="1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1" l="1"/>
  <c r="P17" i="12" l="1"/>
  <c r="P31" i="12" l="1"/>
  <c r="N31" i="12"/>
  <c r="P30" i="12"/>
  <c r="N30" i="12"/>
  <c r="P29" i="12"/>
  <c r="N29" i="12"/>
  <c r="P28" i="12"/>
  <c r="N28" i="12"/>
  <c r="P27" i="12"/>
  <c r="N27" i="12"/>
  <c r="P26" i="12"/>
  <c r="N26" i="12"/>
  <c r="P25" i="12"/>
  <c r="N25" i="12"/>
  <c r="P24" i="12"/>
  <c r="N24" i="12"/>
  <c r="P23" i="12"/>
  <c r="N23" i="12"/>
  <c r="P22" i="12"/>
  <c r="N22" i="12"/>
  <c r="N21" i="12"/>
  <c r="P21" i="12" s="1"/>
  <c r="P20" i="12"/>
  <c r="N20" i="12"/>
  <c r="P19" i="12"/>
  <c r="N19" i="12"/>
  <c r="P18" i="12"/>
  <c r="N18" i="12"/>
  <c r="N17" i="12"/>
  <c r="P16" i="12"/>
  <c r="N16" i="12"/>
  <c r="P15" i="12"/>
  <c r="N15" i="12"/>
  <c r="P14" i="12"/>
  <c r="N14" i="12"/>
  <c r="P13" i="12"/>
  <c r="N13" i="12"/>
  <c r="P12" i="12"/>
  <c r="N12" i="12"/>
  <c r="P11" i="12"/>
  <c r="N11" i="12"/>
  <c r="P10" i="12"/>
  <c r="N10" i="12"/>
  <c r="P31" i="11"/>
  <c r="N31" i="11"/>
  <c r="P30" i="11"/>
  <c r="N30" i="11"/>
  <c r="P29" i="11"/>
  <c r="N29" i="11"/>
  <c r="P28" i="11"/>
  <c r="N28" i="11"/>
  <c r="P27" i="11"/>
  <c r="N27" i="11"/>
  <c r="P26" i="11"/>
  <c r="N26" i="11"/>
  <c r="P25" i="11"/>
  <c r="N25" i="11"/>
  <c r="P24" i="11"/>
  <c r="N24" i="11"/>
  <c r="P23" i="11"/>
  <c r="N23" i="11"/>
  <c r="P22" i="11"/>
  <c r="N22" i="11"/>
  <c r="P21" i="11"/>
  <c r="N21" i="11"/>
  <c r="P20" i="11"/>
  <c r="N20" i="11"/>
  <c r="P19" i="11"/>
  <c r="N19" i="11"/>
  <c r="P18" i="11"/>
  <c r="N18" i="11"/>
  <c r="P17" i="11"/>
  <c r="N17" i="11"/>
  <c r="P16" i="11"/>
  <c r="N16" i="11"/>
  <c r="P15" i="11"/>
  <c r="N15" i="11"/>
  <c r="P14" i="11"/>
  <c r="N14" i="11"/>
  <c r="P13" i="11"/>
  <c r="N13" i="11"/>
  <c r="P12" i="11"/>
  <c r="N12" i="11"/>
  <c r="P11" i="11"/>
  <c r="N11" i="11"/>
  <c r="P10" i="11"/>
  <c r="P31" i="10"/>
  <c r="N31" i="10"/>
  <c r="P30" i="10"/>
  <c r="N30" i="10"/>
  <c r="P29" i="10"/>
  <c r="N29" i="10"/>
  <c r="P28" i="10"/>
  <c r="N28" i="10"/>
  <c r="P27" i="10"/>
  <c r="N27" i="10"/>
  <c r="P26" i="10"/>
  <c r="N26" i="10"/>
  <c r="P25" i="10"/>
  <c r="N25" i="10"/>
  <c r="P24" i="10"/>
  <c r="N24" i="10"/>
  <c r="P23" i="10"/>
  <c r="N23" i="10"/>
  <c r="P22" i="10"/>
  <c r="N22" i="10"/>
  <c r="P21" i="10"/>
  <c r="N21" i="10"/>
  <c r="P20" i="10"/>
  <c r="N20" i="10"/>
  <c r="P19" i="10"/>
  <c r="N19" i="10"/>
  <c r="P18" i="10"/>
  <c r="N18" i="10"/>
  <c r="P17" i="10"/>
  <c r="N17" i="10"/>
  <c r="P16" i="10"/>
  <c r="N16" i="10"/>
  <c r="P15" i="10"/>
  <c r="N15" i="10"/>
  <c r="P14" i="10"/>
  <c r="N14" i="10"/>
  <c r="P13" i="10"/>
  <c r="N13" i="10"/>
  <c r="P12" i="10"/>
  <c r="N12" i="10"/>
  <c r="P11" i="10"/>
  <c r="N11" i="10"/>
  <c r="P10" i="10"/>
  <c r="N10" i="10"/>
  <c r="P44" i="9"/>
  <c r="P43" i="9"/>
  <c r="P42" i="9"/>
  <c r="P41" i="9"/>
  <c r="P40" i="9"/>
  <c r="N40" i="9"/>
  <c r="P39" i="9"/>
  <c r="N39" i="9"/>
  <c r="P38" i="9"/>
  <c r="N38" i="9"/>
  <c r="P37" i="9"/>
  <c r="N37" i="9"/>
  <c r="P36" i="9"/>
  <c r="N36" i="9"/>
  <c r="P35" i="9"/>
  <c r="N35" i="9"/>
  <c r="P34" i="9"/>
  <c r="N34" i="9"/>
  <c r="P33" i="9"/>
  <c r="N33" i="9"/>
  <c r="P32" i="9"/>
  <c r="N32" i="9"/>
  <c r="P31" i="9"/>
  <c r="N31" i="9"/>
  <c r="P30" i="9"/>
  <c r="N30" i="9"/>
  <c r="P29" i="9"/>
  <c r="N29" i="9"/>
  <c r="P28" i="9"/>
  <c r="N28" i="9"/>
  <c r="P27" i="9"/>
  <c r="N27" i="9"/>
  <c r="P26" i="9"/>
  <c r="N26" i="9"/>
  <c r="P25" i="9"/>
  <c r="N25" i="9"/>
  <c r="P24" i="9"/>
  <c r="N24" i="9"/>
  <c r="P23" i="9"/>
  <c r="N23" i="9"/>
  <c r="P22" i="9"/>
  <c r="N22" i="9"/>
  <c r="P21" i="9"/>
  <c r="N21" i="9"/>
  <c r="P20" i="9"/>
  <c r="N20" i="9"/>
  <c r="P19" i="9"/>
  <c r="N19" i="9"/>
  <c r="P18" i="9"/>
  <c r="N18" i="9"/>
  <c r="P17" i="9"/>
  <c r="N17" i="9"/>
  <c r="P16" i="9"/>
  <c r="N16" i="9"/>
  <c r="P15" i="9"/>
  <c r="N15" i="9"/>
  <c r="P14" i="9"/>
  <c r="N14" i="9"/>
  <c r="P13" i="9"/>
  <c r="N13" i="9"/>
  <c r="P12" i="9"/>
  <c r="N12" i="9"/>
  <c r="P11" i="9"/>
  <c r="N11" i="9"/>
  <c r="P10" i="9"/>
  <c r="N10" i="9"/>
</calcChain>
</file>

<file path=xl/sharedStrings.xml><?xml version="1.0" encoding="utf-8"?>
<sst xmlns="http://schemas.openxmlformats.org/spreadsheetml/2006/main" count="249" uniqueCount="131">
  <si>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</si>
  <si>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</si>
  <si>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</si>
  <si>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</si>
  <si>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</si>
  <si>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</si>
  <si>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</si>
  <si>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</si>
  <si>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</si>
  <si>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</si>
  <si>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</si>
  <si>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</si>
  <si>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</si>
  <si>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</si>
  <si>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</si>
  <si>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</si>
  <si>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</si>
  <si>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</si>
  <si>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</si>
  <si>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</si>
  <si>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</si>
  <si>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</si>
  <si>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Medan,     Januari 2026</t>
  </si>
  <si>
    <t>STS</t>
  </si>
  <si>
    <t>RATA-RATA</t>
  </si>
  <si>
    <t>LM5</t>
  </si>
  <si>
    <t>FORMATIF / NH</t>
  </si>
  <si>
    <t>FORMATIF / UH</t>
  </si>
  <si>
    <t>NH</t>
  </si>
  <si>
    <t>UH</t>
  </si>
  <si>
    <t>ADABI LIMANSYAH SAGALA</t>
  </si>
  <si>
    <t>AHMAD YUSRI HABIBI</t>
  </si>
  <si>
    <t>ALBIZRA WALI SUHERI</t>
  </si>
  <si>
    <t>ANDRIAN SAPUTRA</t>
  </si>
  <si>
    <t>ARSY ALFARIZI</t>
  </si>
  <si>
    <t>ARZIKI ALI AZKA</t>
  </si>
  <si>
    <t>ATHALLAH AL SYUTHAN N</t>
  </si>
  <si>
    <t>CHIKO AMANDA DIKA</t>
  </si>
  <si>
    <t>DIMAS ALVINO</t>
  </si>
  <si>
    <t>FADHIL RAJABI</t>
  </si>
  <si>
    <t>FAEYZA MOUZA QHALISH</t>
  </si>
  <si>
    <t>FAIZ PINTARA ALHAFIZ</t>
  </si>
  <si>
    <t>FATHIR AL GHIFARY LESMANA</t>
  </si>
  <si>
    <t>GHAISAN AGHA GAUTAMA</t>
  </si>
  <si>
    <t>JAYA HARTOYO FAHRIAN</t>
  </si>
  <si>
    <t>M HABIBSYAH SYUKUR</t>
  </si>
  <si>
    <t xml:space="preserve">M RIFFAT SYAH INDRA </t>
  </si>
  <si>
    <t>MHD DAYAN SANI ADMAJA</t>
  </si>
  <si>
    <t>MHD JUSTICIO PRADIPTO</t>
  </si>
  <si>
    <t>MUHAMMAD AFKAR AYUB</t>
  </si>
  <si>
    <t>MUHAMMAD ALIF YUSUF ILHAM</t>
  </si>
  <si>
    <t>MUHAMMAD HAFIZ FADLI</t>
  </si>
  <si>
    <t>MUHAMMAD RAHMAN</t>
  </si>
  <si>
    <t>MUHAMMAD RAIHAN RASYIDDIN</t>
  </si>
  <si>
    <t>RADITYA NAUFAL PUTRA</t>
  </si>
  <si>
    <t>RAFFA NURZI SHAULA</t>
  </si>
  <si>
    <t>RAHMAD ARJUNA SIREGAR</t>
  </si>
  <si>
    <t>SULTHAN AUFAR AL FIKRI NASUTION</t>
  </si>
  <si>
    <t>WILDAN TAMEEM BAHRI</t>
  </si>
  <si>
    <t>ILHAM HAFIZ</t>
  </si>
  <si>
    <t>MUHAMMAD HABIB SYARIF MAULANA</t>
  </si>
  <si>
    <t>: 8</t>
  </si>
  <si>
    <t>: PAIBP</t>
  </si>
  <si>
    <t>: STS 1 GANJIL</t>
  </si>
  <si>
    <t>AFIFAH DHIA FADILLAH</t>
  </si>
  <si>
    <t>ALIFIA AJWA</t>
  </si>
  <si>
    <t>AURELIA MUTIARA RAMDANI</t>
  </si>
  <si>
    <t>AZIZAH ZAHRA SIREGAR</t>
  </si>
  <si>
    <t>AZURA FAIRUUZ BARDANI</t>
  </si>
  <si>
    <t>FATHINAH KINARA</t>
  </si>
  <si>
    <t>INAYA AZMI ATHIFA</t>
  </si>
  <si>
    <t>KEIKO MUTIARA ZAHRA</t>
  </si>
  <si>
    <t>KHANZA AYA DIYYA</t>
  </si>
  <si>
    <t>KHEYSA RASHIFA</t>
  </si>
  <si>
    <t>NAISYAH SALSABILA NUSI</t>
  </si>
  <si>
    <t>NAURA ZAKIYA SAKHI</t>
  </si>
  <si>
    <t>ORIN FARAH DINA</t>
  </si>
  <si>
    <t>QANITA AQILAH AL FARIZSIH</t>
  </si>
  <si>
    <t>RIZKA ALYA PUTRI</t>
  </si>
  <si>
    <t>SALSABIL SHAFA</t>
  </si>
  <si>
    <t>SHABRINA HALWA</t>
  </si>
  <si>
    <t>SITI NAFISAH RAY</t>
  </si>
  <si>
    <t>SUCI RAMADHANI</t>
  </si>
  <si>
    <t>SUHANA AICA ACSYAH HSB</t>
  </si>
  <si>
    <t>SYAQILLA AULIANI</t>
  </si>
  <si>
    <t>SYARFINA ANINDYA PUTRI</t>
  </si>
  <si>
    <t>AFIKA HARUMI</t>
  </si>
  <si>
    <t>AFIQAH AZZAHRA</t>
  </si>
  <si>
    <t>ALLYSHA PUTRI WIJAYA</t>
  </si>
  <si>
    <t>ASYIFA NAURAH FEIRUS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</si>
  <si>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</si>
  <si>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</si>
  <si>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</si>
  <si>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</si>
  <si>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</si>
  <si>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</si>
  <si>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</si>
  <si>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</si>
  <si>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</si>
  <si>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</si>
  <si>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</si>
  <si>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</si>
  <si>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</si>
  <si>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</si>
  <si>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</si>
  <si>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</si>
  <si>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AYLA SHAUFA AZZAHRO</t>
  </si>
  <si>
    <t>AQILA SAHARA</t>
  </si>
  <si>
    <t>AISYAH RABIUL AWALIYAH</t>
  </si>
  <si>
    <t>ALIFA NUR ZAHIRAH</t>
  </si>
  <si>
    <t>ALYA JAZILA ARANI</t>
  </si>
  <si>
    <t>AMELIA FENETA ZULHAM</t>
  </si>
  <si>
    <t>AQILA AZ ZAHWA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</si>
  <si>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</si>
  <si>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</si>
  <si>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</si>
  <si>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</si>
  <si>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</si>
  <si>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</si>
  <si>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</si>
  <si>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</si>
  <si>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</si>
  <si>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</si>
  <si>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</si>
  <si>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</si>
  <si>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</si>
  <si>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</si>
  <si>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</si>
  <si>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</si>
  <si>
    <t>AQILAH KHANZA RAMADHANI</t>
  </si>
  <si>
    <t>Rita Sugianto, S. pd 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</si>
</sst>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u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11" fillId="0" borderId="0"/>
    <xf numFmtId="0" fontId="1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0" fontId="0" fillId="3" borderId="1" xfId="0" applyFill="1" applyBorder="1"/>
    <xf numFmtId="1" fontId="4" fillId="3" borderId="1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4" fillId="3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4" fillId="8" borderId="1" xfId="3" applyFont="1" applyFill="1" applyBorder="1" applyAlignment="1">
      <alignment vertical="center"/>
    </xf>
    <xf numFmtId="0" fontId="14" fillId="8" borderId="1" xfId="3" applyFont="1" applyFill="1" applyBorder="1" applyAlignment="1">
      <alignment vertical="center"/>
    </xf>
    <xf numFmtId="0" fontId="12" fillId="0" borderId="1" xfId="3" applyFont="1" applyBorder="1"/>
    <xf numFmtId="0" fontId="14" fillId="8" borderId="1" xfId="3" applyFont="1" applyFill="1" applyBorder="1" applyAlignment="1">
      <alignment vertical="center"/>
    </xf>
    <xf numFmtId="0" fontId="14" fillId="8" borderId="1" xfId="3" applyFont="1" applyFill="1" applyBorder="1" applyAlignment="1">
      <alignment vertical="center"/>
    </xf>
    <xf numFmtId="0" fontId="14" fillId="3" borderId="1" xfId="3" applyFont="1" applyFill="1" applyBorder="1" applyAlignment="1">
      <alignment vertical="center"/>
    </xf>
    <xf numFmtId="0" fontId="0" fillId="3" borderId="0" xfId="0" applyFill="1"/>
    <xf numFmtId="1" fontId="4" fillId="3" borderId="0" xfId="0" applyNumberFormat="1" applyFont="1" applyFill="1"/>
    <xf numFmtId="0" fontId="4" fillId="0" borderId="1" xfId="0" applyFont="1" applyFill="1" applyBorder="1" applyAlignment="1">
      <alignment horizontal="center" vertical="center"/>
    </xf>
    <xf numFmtId="0" fontId="14" fillId="0" borderId="1" xfId="3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1" fontId="4" fillId="0" borderId="0" xfId="0" applyNumberFormat="1" applyFont="1" applyFill="1"/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1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4"/>
    <cellStyle name="Normal 3" xfId="2"/>
    <cellStyle name="Normal 4" xfId="3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topLeftCell="A9" zoomScale="80" zoomScaleNormal="80" workbookViewId="0">
      <selection activeCell="L35" sqref="L35"/>
    </sheetView>
  </sheetViews>
  <sheetFormatPr defaultRowHeight="15"/>
  <cols>
    <col min="2" max="2" width="40.125" customWidth="1"/>
    <col min="10" max="10" width="9.25" bestFit="1" customWidth="1"/>
    <col min="13" max="13" width="14" customWidth="1"/>
    <col min="14" max="14" width="10.75" customWidth="1"/>
    <col min="15" max="15" width="12.875" customWidth="1"/>
    <col min="16" max="16" width="38.375" customWidth="1"/>
    <col min="23" max="23" width="11.5" customWidth="1"/>
    <col min="25" max="25" width="28.375" customWidth="1"/>
  </cols>
  <sheetData>
    <row r="1" spans="1:18" ht="18.75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3"/>
      <c r="R1" s="3"/>
    </row>
    <row r="2" spans="1:18" ht="18.75">
      <c r="A2" s="43" t="s">
        <v>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61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6" customHeight="1">
      <c r="A8" s="46" t="s">
        <v>2</v>
      </c>
      <c r="B8" s="47" t="s">
        <v>3</v>
      </c>
      <c r="C8" s="48" t="s">
        <v>26</v>
      </c>
      <c r="D8" s="48"/>
      <c r="E8" s="48"/>
      <c r="F8" s="48"/>
      <c r="G8" s="48"/>
      <c r="H8" s="49" t="s">
        <v>27</v>
      </c>
      <c r="I8" s="49"/>
      <c r="J8" s="49"/>
      <c r="K8" s="49"/>
      <c r="L8" s="49"/>
      <c r="M8" s="21" t="s">
        <v>9</v>
      </c>
      <c r="N8" s="44" t="s">
        <v>24</v>
      </c>
      <c r="O8" s="45"/>
      <c r="P8" s="16" t="s">
        <v>10</v>
      </c>
      <c r="R8" s="1" t="s">
        <v>16</v>
      </c>
    </row>
    <row r="9" spans="1:18" ht="14.45" customHeight="1">
      <c r="A9" s="46"/>
      <c r="B9" s="47"/>
      <c r="C9" s="13" t="s">
        <v>4</v>
      </c>
      <c r="D9" s="13" t="s">
        <v>5</v>
      </c>
      <c r="E9" s="13" t="s">
        <v>6</v>
      </c>
      <c r="F9" s="13" t="s">
        <v>7</v>
      </c>
      <c r="G9" s="13" t="s">
        <v>25</v>
      </c>
      <c r="H9" s="14" t="s">
        <v>4</v>
      </c>
      <c r="I9" s="14" t="s">
        <v>8</v>
      </c>
      <c r="J9" s="14" t="s">
        <v>6</v>
      </c>
      <c r="K9" s="14" t="s">
        <v>7</v>
      </c>
      <c r="L9" s="14" t="s">
        <v>25</v>
      </c>
      <c r="M9" s="21" t="s">
        <v>23</v>
      </c>
      <c r="N9" s="15" t="s">
        <v>28</v>
      </c>
      <c r="O9" s="15" t="s">
        <v>29</v>
      </c>
      <c r="P9" s="17"/>
      <c r="R9" s="2" t="s">
        <v>11</v>
      </c>
    </row>
    <row r="10" spans="1:18">
      <c r="A10" s="5">
        <v>1</v>
      </c>
      <c r="B10" s="24" t="s">
        <v>30</v>
      </c>
      <c r="C10" s="8">
        <v>60</v>
      </c>
      <c r="D10" s="5">
        <v>60</v>
      </c>
      <c r="E10" s="18"/>
      <c r="F10" s="19"/>
      <c r="G10" s="19"/>
      <c r="H10" s="41">
        <v>60</v>
      </c>
      <c r="I10" s="41">
        <v>60</v>
      </c>
      <c r="J10" s="20"/>
      <c r="K10" s="20"/>
      <c r="L10" s="20"/>
      <c r="M10" s="39">
        <v>55</v>
      </c>
      <c r="N10" s="18">
        <f>AVERAGE(C10:I10)</f>
        <v>60</v>
      </c>
      <c r="O10" s="40">
        <v>75</v>
      </c>
      <c r="P10" s="8">
        <f>(M10*30/100)+(N10*35/100)+(O10*35/100)</f>
        <v>63.75</v>
      </c>
      <c r="R10" s="2" t="s">
        <v>17</v>
      </c>
    </row>
    <row r="11" spans="1:18">
      <c r="A11" s="5">
        <v>2</v>
      </c>
      <c r="B11" s="24" t="s">
        <v>31</v>
      </c>
      <c r="C11" s="8">
        <v>70</v>
      </c>
      <c r="D11" s="8">
        <v>100</v>
      </c>
      <c r="E11" s="18"/>
      <c r="F11" s="7"/>
      <c r="G11" s="7"/>
      <c r="H11" s="5">
        <v>95</v>
      </c>
      <c r="I11" s="5">
        <v>86</v>
      </c>
      <c r="J11" s="20"/>
      <c r="K11" s="5"/>
      <c r="L11" s="5"/>
      <c r="M11" s="10">
        <v>36</v>
      </c>
      <c r="N11" s="18">
        <f t="shared" ref="N11:N40" si="0">AVERAGE(C11:I11)</f>
        <v>87.75</v>
      </c>
      <c r="O11" s="40">
        <v>75</v>
      </c>
      <c r="P11" s="8">
        <f t="shared" ref="P11:P44" si="1">(M11*30/100)+(N11*35/100)+(O11*35/100)</f>
        <v>67.762500000000003</v>
      </c>
      <c r="R11" s="2" t="s">
        <v>19</v>
      </c>
    </row>
    <row r="12" spans="1:18">
      <c r="A12" s="5">
        <v>3</v>
      </c>
      <c r="B12" s="24" t="s">
        <v>32</v>
      </c>
      <c r="C12" s="8">
        <v>100</v>
      </c>
      <c r="D12" s="5">
        <v>100</v>
      </c>
      <c r="E12" s="18"/>
      <c r="F12" s="7"/>
      <c r="G12" s="7"/>
      <c r="H12" s="5">
        <v>100</v>
      </c>
      <c r="I12" s="5">
        <v>95</v>
      </c>
      <c r="J12" s="20"/>
      <c r="K12" s="5"/>
      <c r="L12" s="5"/>
      <c r="M12" s="10">
        <v>58</v>
      </c>
      <c r="N12" s="18">
        <f t="shared" si="0"/>
        <v>98.75</v>
      </c>
      <c r="O12" s="40">
        <v>75</v>
      </c>
      <c r="P12" s="8">
        <f t="shared" si="1"/>
        <v>78.212500000000006</v>
      </c>
      <c r="R12" s="2" t="s">
        <v>20</v>
      </c>
    </row>
    <row r="13" spans="1:18">
      <c r="A13" s="5">
        <v>4</v>
      </c>
      <c r="B13" s="24" t="s">
        <v>33</v>
      </c>
      <c r="C13" s="8">
        <v>100</v>
      </c>
      <c r="D13" s="5">
        <v>100</v>
      </c>
      <c r="E13" s="18"/>
      <c r="F13" s="7"/>
      <c r="G13" s="7"/>
      <c r="H13" s="5">
        <v>90</v>
      </c>
      <c r="I13" s="5">
        <v>100</v>
      </c>
      <c r="J13" s="20"/>
      <c r="K13" s="5"/>
      <c r="L13" s="5"/>
      <c r="M13" s="10">
        <v>68</v>
      </c>
      <c r="N13" s="18">
        <f t="shared" si="0"/>
        <v>97.5</v>
      </c>
      <c r="O13" s="40">
        <v>75</v>
      </c>
      <c r="P13" s="8">
        <f t="shared" si="1"/>
        <v>80.775000000000006</v>
      </c>
      <c r="R13" s="2" t="s">
        <v>21</v>
      </c>
    </row>
    <row r="14" spans="1:18">
      <c r="A14" s="5">
        <v>5</v>
      </c>
      <c r="B14" s="24" t="s">
        <v>34</v>
      </c>
      <c r="C14" s="8">
        <v>100</v>
      </c>
      <c r="D14" s="8">
        <v>80</v>
      </c>
      <c r="E14" s="18"/>
      <c r="F14" s="7"/>
      <c r="G14" s="7"/>
      <c r="H14" s="5">
        <v>80</v>
      </c>
      <c r="I14" s="5">
        <v>90</v>
      </c>
      <c r="J14" s="20"/>
      <c r="K14" s="5"/>
      <c r="L14" s="5"/>
      <c r="M14" s="10">
        <v>85</v>
      </c>
      <c r="N14" s="18">
        <f t="shared" si="0"/>
        <v>87.5</v>
      </c>
      <c r="O14" s="40">
        <v>75</v>
      </c>
      <c r="P14" s="8">
        <f t="shared" si="1"/>
        <v>82.375</v>
      </c>
      <c r="R14" s="2" t="s">
        <v>12</v>
      </c>
    </row>
    <row r="15" spans="1:18">
      <c r="A15" s="5">
        <v>6</v>
      </c>
      <c r="B15" s="24" t="s">
        <v>35</v>
      </c>
      <c r="C15" s="8">
        <v>100</v>
      </c>
      <c r="D15" s="5">
        <v>100</v>
      </c>
      <c r="E15" s="18"/>
      <c r="F15" s="7"/>
      <c r="G15" s="7"/>
      <c r="H15" s="5">
        <v>100</v>
      </c>
      <c r="I15" s="5">
        <v>100</v>
      </c>
      <c r="J15" s="20"/>
      <c r="K15" s="5"/>
      <c r="L15" s="5"/>
      <c r="M15" s="10">
        <v>83</v>
      </c>
      <c r="N15" s="18">
        <f t="shared" si="0"/>
        <v>100</v>
      </c>
      <c r="O15" s="40">
        <v>75</v>
      </c>
      <c r="P15" s="8">
        <f t="shared" si="1"/>
        <v>86.15</v>
      </c>
      <c r="R15" s="6"/>
    </row>
    <row r="16" spans="1:18">
      <c r="A16" s="5">
        <v>7</v>
      </c>
      <c r="B16" s="24" t="s">
        <v>36</v>
      </c>
      <c r="C16" s="8">
        <v>95</v>
      </c>
      <c r="D16" s="5">
        <v>70</v>
      </c>
      <c r="E16" s="18"/>
      <c r="F16" s="7"/>
      <c r="G16" s="7"/>
      <c r="H16" s="5">
        <v>80</v>
      </c>
      <c r="I16" s="5">
        <v>85</v>
      </c>
      <c r="J16" s="20"/>
      <c r="K16" s="5"/>
      <c r="L16" s="5"/>
      <c r="M16" s="10">
        <v>64</v>
      </c>
      <c r="N16" s="18">
        <f t="shared" si="0"/>
        <v>82.5</v>
      </c>
      <c r="O16" s="40">
        <v>75</v>
      </c>
      <c r="P16" s="8">
        <f t="shared" si="1"/>
        <v>74.325000000000003</v>
      </c>
      <c r="R16" s="6"/>
    </row>
    <row r="17" spans="1:18">
      <c r="A17" s="5">
        <v>8</v>
      </c>
      <c r="B17" s="24" t="s">
        <v>37</v>
      </c>
      <c r="C17" s="8">
        <v>60</v>
      </c>
      <c r="D17" s="8">
        <v>100</v>
      </c>
      <c r="E17" s="18"/>
      <c r="F17" s="7"/>
      <c r="G17" s="7"/>
      <c r="H17" s="5">
        <v>60</v>
      </c>
      <c r="I17" s="5">
        <v>95</v>
      </c>
      <c r="J17" s="20"/>
      <c r="K17" s="5"/>
      <c r="L17" s="5"/>
      <c r="M17" s="10">
        <v>27</v>
      </c>
      <c r="N17" s="18">
        <f t="shared" si="0"/>
        <v>78.75</v>
      </c>
      <c r="O17" s="40">
        <v>75</v>
      </c>
      <c r="P17" s="8">
        <f t="shared" si="1"/>
        <v>61.912500000000001</v>
      </c>
      <c r="R17" s="6"/>
    </row>
    <row r="18" spans="1:18">
      <c r="A18" s="5">
        <v>9</v>
      </c>
      <c r="B18" s="24" t="s">
        <v>38</v>
      </c>
      <c r="C18" s="8">
        <v>95</v>
      </c>
      <c r="D18" s="8">
        <v>90</v>
      </c>
      <c r="E18" s="18"/>
      <c r="F18" s="7"/>
      <c r="G18" s="7"/>
      <c r="H18" s="5">
        <v>60</v>
      </c>
      <c r="I18" s="5">
        <v>85</v>
      </c>
      <c r="J18" s="20"/>
      <c r="K18" s="5"/>
      <c r="L18" s="5"/>
      <c r="M18" s="10">
        <v>39</v>
      </c>
      <c r="N18" s="18">
        <f t="shared" si="0"/>
        <v>82.5</v>
      </c>
      <c r="O18" s="8">
        <v>80</v>
      </c>
      <c r="P18" s="8">
        <f t="shared" si="1"/>
        <v>68.575000000000003</v>
      </c>
      <c r="R18" s="6"/>
    </row>
    <row r="19" spans="1:18">
      <c r="A19" s="5">
        <v>10</v>
      </c>
      <c r="B19" s="24" t="s">
        <v>39</v>
      </c>
      <c r="C19" s="8">
        <v>90</v>
      </c>
      <c r="D19" s="5">
        <v>100</v>
      </c>
      <c r="E19" s="18"/>
      <c r="F19" s="7"/>
      <c r="G19" s="7"/>
      <c r="H19" s="5">
        <v>100</v>
      </c>
      <c r="I19" s="5">
        <v>100</v>
      </c>
      <c r="J19" s="20"/>
      <c r="K19" s="5"/>
      <c r="L19" s="5"/>
      <c r="M19" s="10">
        <v>49</v>
      </c>
      <c r="N19" s="18">
        <f t="shared" si="0"/>
        <v>97.5</v>
      </c>
      <c r="O19" s="8">
        <v>75</v>
      </c>
      <c r="P19" s="8">
        <f t="shared" si="1"/>
        <v>75.075000000000003</v>
      </c>
      <c r="R19" s="6"/>
    </row>
    <row r="20" spans="1:18" s="36" customFormat="1">
      <c r="A20" s="32">
        <v>11</v>
      </c>
      <c r="B20" s="33" t="s">
        <v>40</v>
      </c>
      <c r="C20" s="34">
        <v>85</v>
      </c>
      <c r="D20" s="32">
        <v>85</v>
      </c>
      <c r="E20" s="18"/>
      <c r="F20" s="35"/>
      <c r="G20" s="35"/>
      <c r="H20" s="32">
        <v>60</v>
      </c>
      <c r="I20" s="32">
        <v>60</v>
      </c>
      <c r="J20" s="20"/>
      <c r="K20" s="32"/>
      <c r="L20" s="32"/>
      <c r="M20" s="35">
        <v>70</v>
      </c>
      <c r="N20" s="18">
        <f t="shared" si="0"/>
        <v>72.5</v>
      </c>
      <c r="O20" s="34">
        <v>80</v>
      </c>
      <c r="P20" s="34">
        <f t="shared" si="1"/>
        <v>74.375</v>
      </c>
      <c r="R20" s="37"/>
    </row>
    <row r="21" spans="1:18">
      <c r="A21" s="5">
        <v>12</v>
      </c>
      <c r="B21" s="24" t="s">
        <v>41</v>
      </c>
      <c r="C21" s="8">
        <v>100</v>
      </c>
      <c r="D21" s="5">
        <v>90</v>
      </c>
      <c r="E21" s="18"/>
      <c r="F21" s="7"/>
      <c r="G21" s="7"/>
      <c r="H21" s="5">
        <v>100</v>
      </c>
      <c r="I21" s="5">
        <v>90</v>
      </c>
      <c r="J21" s="20"/>
      <c r="K21" s="5"/>
      <c r="L21" s="5"/>
      <c r="M21" s="10">
        <v>55</v>
      </c>
      <c r="N21" s="18">
        <f t="shared" si="0"/>
        <v>95</v>
      </c>
      <c r="O21" s="8">
        <v>80</v>
      </c>
      <c r="P21" s="8">
        <f t="shared" si="1"/>
        <v>77.75</v>
      </c>
      <c r="R21" s="6"/>
    </row>
    <row r="22" spans="1:18">
      <c r="A22" s="5">
        <v>13</v>
      </c>
      <c r="B22" s="24" t="s">
        <v>42</v>
      </c>
      <c r="C22" s="8">
        <v>100</v>
      </c>
      <c r="D22" s="8">
        <v>85</v>
      </c>
      <c r="E22" s="18"/>
      <c r="F22" s="7"/>
      <c r="G22" s="7"/>
      <c r="H22" s="5">
        <v>90</v>
      </c>
      <c r="I22" s="5">
        <v>95</v>
      </c>
      <c r="J22" s="20"/>
      <c r="K22" s="5"/>
      <c r="L22" s="5"/>
      <c r="M22" s="10">
        <v>68</v>
      </c>
      <c r="N22" s="18">
        <f t="shared" si="0"/>
        <v>92.5</v>
      </c>
      <c r="O22" s="8">
        <v>100</v>
      </c>
      <c r="P22" s="8">
        <f t="shared" si="1"/>
        <v>87.775000000000006</v>
      </c>
      <c r="R22" s="6"/>
    </row>
    <row r="23" spans="1:18">
      <c r="A23" s="5">
        <v>14</v>
      </c>
      <c r="B23" s="24" t="s">
        <v>43</v>
      </c>
      <c r="C23" s="8">
        <v>90</v>
      </c>
      <c r="D23" s="5">
        <v>85</v>
      </c>
      <c r="E23" s="18"/>
      <c r="F23" s="7"/>
      <c r="G23" s="7"/>
      <c r="H23" s="5">
        <v>70</v>
      </c>
      <c r="I23" s="5">
        <v>85</v>
      </c>
      <c r="J23" s="20"/>
      <c r="K23" s="5"/>
      <c r="L23" s="5"/>
      <c r="M23" s="10">
        <v>62</v>
      </c>
      <c r="N23" s="18">
        <f t="shared" si="0"/>
        <v>82.5</v>
      </c>
      <c r="O23" s="8">
        <v>80</v>
      </c>
      <c r="P23" s="8">
        <f t="shared" si="1"/>
        <v>75.474999999999994</v>
      </c>
      <c r="R23" s="6"/>
    </row>
    <row r="24" spans="1:18" s="30" customFormat="1">
      <c r="A24" s="5">
        <v>15</v>
      </c>
      <c r="B24" s="29" t="s">
        <v>44</v>
      </c>
      <c r="C24" s="8">
        <v>90</v>
      </c>
      <c r="D24" s="5">
        <v>90</v>
      </c>
      <c r="E24" s="18"/>
      <c r="F24" s="7"/>
      <c r="G24" s="7"/>
      <c r="H24" s="5">
        <v>100</v>
      </c>
      <c r="I24" s="12">
        <v>70</v>
      </c>
      <c r="J24" s="20"/>
      <c r="K24" s="5"/>
      <c r="L24" s="5"/>
      <c r="M24" s="7">
        <v>85</v>
      </c>
      <c r="N24" s="18">
        <f t="shared" si="0"/>
        <v>87.5</v>
      </c>
      <c r="O24" s="8">
        <v>75</v>
      </c>
      <c r="P24" s="8">
        <f t="shared" si="1"/>
        <v>82.375</v>
      </c>
      <c r="R24" s="31"/>
    </row>
    <row r="25" spans="1:18">
      <c r="A25" s="5">
        <v>16</v>
      </c>
      <c r="B25" s="24" t="s">
        <v>45</v>
      </c>
      <c r="C25" s="8">
        <v>100</v>
      </c>
      <c r="D25" s="5">
        <v>80</v>
      </c>
      <c r="E25" s="18"/>
      <c r="F25" s="7"/>
      <c r="G25" s="7"/>
      <c r="H25" s="5">
        <v>95</v>
      </c>
      <c r="I25" s="5">
        <v>85</v>
      </c>
      <c r="J25" s="20"/>
      <c r="K25" s="5"/>
      <c r="L25" s="5"/>
      <c r="M25" s="10">
        <v>72</v>
      </c>
      <c r="N25" s="18">
        <f t="shared" si="0"/>
        <v>90</v>
      </c>
      <c r="O25" s="8">
        <v>90</v>
      </c>
      <c r="P25" s="8">
        <f t="shared" si="1"/>
        <v>84.6</v>
      </c>
      <c r="R25" s="6"/>
    </row>
    <row r="26" spans="1:18">
      <c r="A26" s="5">
        <v>17</v>
      </c>
      <c r="B26" s="24" t="s">
        <v>46</v>
      </c>
      <c r="C26" s="8">
        <v>100</v>
      </c>
      <c r="D26" s="5">
        <v>100</v>
      </c>
      <c r="E26" s="18"/>
      <c r="F26" s="7"/>
      <c r="G26" s="7"/>
      <c r="H26" s="5">
        <v>90</v>
      </c>
      <c r="I26" s="5">
        <v>100</v>
      </c>
      <c r="J26" s="20"/>
      <c r="K26" s="5"/>
      <c r="L26" s="5"/>
      <c r="M26" s="10">
        <v>82</v>
      </c>
      <c r="N26" s="18">
        <f t="shared" si="0"/>
        <v>97.5</v>
      </c>
      <c r="O26" s="8">
        <v>90</v>
      </c>
      <c r="P26" s="8">
        <f t="shared" si="1"/>
        <v>90.224999999999994</v>
      </c>
      <c r="R26" s="6"/>
    </row>
    <row r="27" spans="1:18">
      <c r="A27" s="5">
        <v>18</v>
      </c>
      <c r="B27" s="24" t="s">
        <v>47</v>
      </c>
      <c r="C27" s="8">
        <v>100</v>
      </c>
      <c r="D27" s="5">
        <v>85</v>
      </c>
      <c r="E27" s="18"/>
      <c r="F27" s="7"/>
      <c r="G27" s="7"/>
      <c r="H27" s="5">
        <v>90</v>
      </c>
      <c r="I27" s="5">
        <v>60</v>
      </c>
      <c r="J27" s="20"/>
      <c r="K27" s="5"/>
      <c r="L27" s="5"/>
      <c r="M27" s="10">
        <v>65</v>
      </c>
      <c r="N27" s="18">
        <f t="shared" si="0"/>
        <v>83.75</v>
      </c>
      <c r="O27" s="8">
        <v>75</v>
      </c>
      <c r="P27" s="8">
        <f t="shared" si="1"/>
        <v>75.0625</v>
      </c>
      <c r="R27" s="6"/>
    </row>
    <row r="28" spans="1:18">
      <c r="A28" s="5">
        <v>19</v>
      </c>
      <c r="B28" s="24" t="s">
        <v>48</v>
      </c>
      <c r="C28" s="8">
        <v>60</v>
      </c>
      <c r="D28" s="5">
        <v>60</v>
      </c>
      <c r="E28" s="18"/>
      <c r="F28" s="7"/>
      <c r="G28" s="7"/>
      <c r="H28" s="5">
        <v>100</v>
      </c>
      <c r="I28" s="5">
        <v>95</v>
      </c>
      <c r="J28" s="20"/>
      <c r="K28" s="5"/>
      <c r="L28" s="5"/>
      <c r="M28" s="10">
        <v>52</v>
      </c>
      <c r="N28" s="18">
        <f t="shared" si="0"/>
        <v>78.75</v>
      </c>
      <c r="O28" s="8">
        <v>75</v>
      </c>
      <c r="P28" s="8">
        <f t="shared" si="1"/>
        <v>69.412499999999994</v>
      </c>
      <c r="R28" s="6"/>
    </row>
    <row r="29" spans="1:18">
      <c r="A29" s="5">
        <v>20</v>
      </c>
      <c r="B29" s="24" t="s">
        <v>49</v>
      </c>
      <c r="C29" s="8">
        <v>100</v>
      </c>
      <c r="D29" s="5">
        <v>100</v>
      </c>
      <c r="E29" s="18"/>
      <c r="F29" s="7"/>
      <c r="G29" s="7"/>
      <c r="H29" s="5">
        <v>100</v>
      </c>
      <c r="I29" s="5">
        <v>100</v>
      </c>
      <c r="J29" s="20"/>
      <c r="K29" s="5"/>
      <c r="L29" s="5"/>
      <c r="M29" s="10">
        <v>98</v>
      </c>
      <c r="N29" s="18">
        <f t="shared" si="0"/>
        <v>100</v>
      </c>
      <c r="O29" s="8">
        <v>75</v>
      </c>
      <c r="P29" s="8">
        <f t="shared" si="1"/>
        <v>90.65</v>
      </c>
      <c r="R29" s="6"/>
    </row>
    <row r="30" spans="1:18">
      <c r="A30" s="5">
        <v>21</v>
      </c>
      <c r="B30" s="24" t="s">
        <v>50</v>
      </c>
      <c r="C30" s="8">
        <v>100</v>
      </c>
      <c r="D30" s="8">
        <v>100</v>
      </c>
      <c r="E30" s="18"/>
      <c r="F30" s="7"/>
      <c r="G30" s="7"/>
      <c r="H30" s="5">
        <v>100</v>
      </c>
      <c r="I30" s="5">
        <v>85</v>
      </c>
      <c r="J30" s="20"/>
      <c r="K30" s="5"/>
      <c r="L30" s="5"/>
      <c r="M30" s="10">
        <v>78</v>
      </c>
      <c r="N30" s="18">
        <f t="shared" si="0"/>
        <v>96.25</v>
      </c>
      <c r="O30" s="8">
        <v>75</v>
      </c>
      <c r="P30" s="8">
        <f t="shared" si="1"/>
        <v>83.337500000000006</v>
      </c>
      <c r="R30" s="6"/>
    </row>
    <row r="31" spans="1:18">
      <c r="A31" s="5">
        <v>22</v>
      </c>
      <c r="B31" s="24" t="s">
        <v>51</v>
      </c>
      <c r="C31" s="8">
        <v>95</v>
      </c>
      <c r="D31" s="5">
        <v>95</v>
      </c>
      <c r="E31" s="18"/>
      <c r="F31" s="7"/>
      <c r="G31" s="7"/>
      <c r="H31" s="5">
        <v>100</v>
      </c>
      <c r="I31" s="5">
        <v>100</v>
      </c>
      <c r="J31" s="20"/>
      <c r="K31" s="5"/>
      <c r="L31" s="5"/>
      <c r="M31" s="10">
        <v>61</v>
      </c>
      <c r="N31" s="18">
        <f t="shared" si="0"/>
        <v>97.5</v>
      </c>
      <c r="O31" s="8">
        <v>75</v>
      </c>
      <c r="P31" s="8">
        <f t="shared" si="1"/>
        <v>78.674999999999997</v>
      </c>
      <c r="R31" s="6"/>
    </row>
    <row r="32" spans="1:18">
      <c r="A32" s="5">
        <v>23</v>
      </c>
      <c r="B32" s="24" t="s">
        <v>52</v>
      </c>
      <c r="C32" s="8">
        <v>90</v>
      </c>
      <c r="D32" s="8">
        <v>100</v>
      </c>
      <c r="E32" s="18"/>
      <c r="F32" s="7"/>
      <c r="G32" s="7"/>
      <c r="H32" s="5">
        <v>100</v>
      </c>
      <c r="I32" s="5">
        <v>95</v>
      </c>
      <c r="J32" s="20"/>
      <c r="K32" s="5"/>
      <c r="L32" s="5"/>
      <c r="M32" s="10">
        <v>74</v>
      </c>
      <c r="N32" s="18">
        <f t="shared" si="0"/>
        <v>96.25</v>
      </c>
      <c r="O32" s="8">
        <v>80</v>
      </c>
      <c r="P32" s="8">
        <f t="shared" si="1"/>
        <v>83.887500000000003</v>
      </c>
      <c r="R32" s="6"/>
    </row>
    <row r="33" spans="1:27">
      <c r="A33" s="5">
        <v>24</v>
      </c>
      <c r="B33" s="24" t="s">
        <v>53</v>
      </c>
      <c r="C33" s="8">
        <v>90</v>
      </c>
      <c r="D33" s="8">
        <v>100</v>
      </c>
      <c r="E33" s="18"/>
      <c r="F33" s="7"/>
      <c r="G33" s="7"/>
      <c r="H33" s="5">
        <v>80</v>
      </c>
      <c r="I33" s="5">
        <v>95</v>
      </c>
      <c r="J33" s="20"/>
      <c r="K33" s="5"/>
      <c r="L33" s="5"/>
      <c r="M33" s="10">
        <v>78</v>
      </c>
      <c r="N33" s="18">
        <f t="shared" si="0"/>
        <v>91.25</v>
      </c>
      <c r="O33" s="8">
        <v>80</v>
      </c>
      <c r="P33" s="8">
        <f t="shared" si="1"/>
        <v>83.337500000000006</v>
      </c>
      <c r="R33" s="6"/>
    </row>
    <row r="34" spans="1:27">
      <c r="A34" s="5">
        <v>25</v>
      </c>
      <c r="B34" s="24" t="s">
        <v>54</v>
      </c>
      <c r="C34" s="8">
        <v>100</v>
      </c>
      <c r="D34" s="8">
        <v>100</v>
      </c>
      <c r="E34" s="18"/>
      <c r="F34" s="7"/>
      <c r="G34" s="7"/>
      <c r="H34" s="5">
        <v>100</v>
      </c>
      <c r="I34" s="5">
        <v>90</v>
      </c>
      <c r="J34" s="20"/>
      <c r="K34" s="5"/>
      <c r="L34" s="5"/>
      <c r="M34" s="10">
        <v>52</v>
      </c>
      <c r="N34" s="18">
        <f t="shared" si="0"/>
        <v>97.5</v>
      </c>
      <c r="O34" s="8">
        <v>75</v>
      </c>
      <c r="P34" s="8">
        <f t="shared" si="1"/>
        <v>75.974999999999994</v>
      </c>
      <c r="R34" s="6"/>
    </row>
    <row r="35" spans="1:27">
      <c r="A35" s="5">
        <v>26</v>
      </c>
      <c r="B35" s="24" t="s">
        <v>55</v>
      </c>
      <c r="C35" s="8">
        <v>100</v>
      </c>
      <c r="D35" s="8">
        <v>100</v>
      </c>
      <c r="E35" s="18"/>
      <c r="F35" s="7"/>
      <c r="G35" s="7"/>
      <c r="H35" s="5">
        <v>90</v>
      </c>
      <c r="I35" s="5">
        <v>90</v>
      </c>
      <c r="J35" s="20"/>
      <c r="K35" s="11"/>
      <c r="L35" s="11"/>
      <c r="M35" s="10">
        <v>56</v>
      </c>
      <c r="N35" s="18">
        <f t="shared" si="0"/>
        <v>95</v>
      </c>
      <c r="O35" s="8">
        <v>75</v>
      </c>
      <c r="P35" s="8">
        <f t="shared" si="1"/>
        <v>76.3</v>
      </c>
      <c r="R35" s="6"/>
    </row>
    <row r="36" spans="1:27">
      <c r="A36" s="5">
        <v>27</v>
      </c>
      <c r="B36" s="24" t="s">
        <v>56</v>
      </c>
      <c r="C36" s="8">
        <v>100</v>
      </c>
      <c r="D36" s="5">
        <v>100</v>
      </c>
      <c r="E36" s="18"/>
      <c r="F36" s="7"/>
      <c r="G36" s="7"/>
      <c r="H36" s="5">
        <v>100</v>
      </c>
      <c r="I36" s="5">
        <v>100</v>
      </c>
      <c r="J36" s="20"/>
      <c r="K36" s="5"/>
      <c r="L36" s="5"/>
      <c r="M36" s="10">
        <v>87</v>
      </c>
      <c r="N36" s="18">
        <f t="shared" si="0"/>
        <v>100</v>
      </c>
      <c r="O36" s="8">
        <v>75</v>
      </c>
      <c r="P36" s="8">
        <f t="shared" si="1"/>
        <v>87.35</v>
      </c>
      <c r="R36" s="6"/>
    </row>
    <row r="37" spans="1:27">
      <c r="A37" s="5">
        <v>28</v>
      </c>
      <c r="B37" s="24" t="s">
        <v>57</v>
      </c>
      <c r="C37" s="8">
        <v>90</v>
      </c>
      <c r="D37" s="8">
        <v>100</v>
      </c>
      <c r="E37" s="18"/>
      <c r="F37" s="7"/>
      <c r="G37" s="7"/>
      <c r="H37" s="5">
        <v>100</v>
      </c>
      <c r="I37" s="5">
        <v>85</v>
      </c>
      <c r="J37" s="20"/>
      <c r="K37" s="5"/>
      <c r="L37" s="5"/>
      <c r="M37" s="10">
        <v>78</v>
      </c>
      <c r="N37" s="18">
        <f t="shared" si="0"/>
        <v>93.75</v>
      </c>
      <c r="O37" s="8">
        <v>75</v>
      </c>
      <c r="P37" s="8">
        <f t="shared" si="1"/>
        <v>82.462500000000006</v>
      </c>
      <c r="R37" s="6"/>
    </row>
    <row r="38" spans="1:27">
      <c r="A38" s="5">
        <v>29</v>
      </c>
      <c r="B38" s="24" t="s">
        <v>58</v>
      </c>
      <c r="C38" s="5">
        <v>100</v>
      </c>
      <c r="D38" s="5">
        <v>100</v>
      </c>
      <c r="E38" s="18"/>
      <c r="F38" s="7"/>
      <c r="G38" s="7"/>
      <c r="H38" s="5">
        <v>100</v>
      </c>
      <c r="I38" s="5">
        <v>100</v>
      </c>
      <c r="J38" s="20"/>
      <c r="K38" s="5"/>
      <c r="L38" s="5"/>
      <c r="M38" s="10">
        <v>79</v>
      </c>
      <c r="N38" s="18">
        <f t="shared" si="0"/>
        <v>100</v>
      </c>
      <c r="O38" s="8">
        <v>80</v>
      </c>
      <c r="P38" s="8">
        <f t="shared" si="1"/>
        <v>86.7</v>
      </c>
      <c r="R38" s="6"/>
    </row>
    <row r="39" spans="1:27">
      <c r="A39" s="5">
        <v>30</v>
      </c>
      <c r="B39" s="24" t="s">
        <v>59</v>
      </c>
      <c r="C39" s="10">
        <v>90</v>
      </c>
      <c r="D39" s="10">
        <v>100</v>
      </c>
      <c r="E39" s="18"/>
      <c r="F39" s="10"/>
      <c r="G39" s="10"/>
      <c r="H39" s="10">
        <v>100</v>
      </c>
      <c r="I39" s="10">
        <v>90</v>
      </c>
      <c r="J39" s="20"/>
      <c r="K39" s="10"/>
      <c r="L39" s="10"/>
      <c r="M39" s="10">
        <v>57</v>
      </c>
      <c r="N39" s="18">
        <f t="shared" si="0"/>
        <v>95</v>
      </c>
      <c r="O39" s="10">
        <v>80</v>
      </c>
      <c r="P39" s="8">
        <f t="shared" si="1"/>
        <v>78.349999999999994</v>
      </c>
      <c r="Q39" s="3"/>
      <c r="R39" s="3"/>
      <c r="X39" s="9"/>
      <c r="AA39" s="9"/>
    </row>
    <row r="40" spans="1:27">
      <c r="A40" s="5">
        <v>31</v>
      </c>
      <c r="B40" s="24" t="s">
        <v>60</v>
      </c>
      <c r="C40" s="10">
        <v>95</v>
      </c>
      <c r="D40" s="10">
        <v>95</v>
      </c>
      <c r="E40" s="18"/>
      <c r="F40" s="10"/>
      <c r="G40" s="10"/>
      <c r="H40" s="10">
        <v>100</v>
      </c>
      <c r="I40" s="10">
        <v>90</v>
      </c>
      <c r="J40" s="20"/>
      <c r="K40" s="10"/>
      <c r="L40" s="10"/>
      <c r="M40" s="10">
        <v>83</v>
      </c>
      <c r="N40" s="18">
        <f t="shared" si="0"/>
        <v>95</v>
      </c>
      <c r="O40" s="10">
        <v>90</v>
      </c>
      <c r="P40" s="8">
        <f t="shared" si="1"/>
        <v>89.65</v>
      </c>
      <c r="Q40" s="3"/>
      <c r="R40" s="3"/>
    </row>
    <row r="41" spans="1:27">
      <c r="A41" s="5">
        <v>32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0"/>
      <c r="O41" s="4"/>
      <c r="P41" s="8">
        <f t="shared" si="1"/>
        <v>0</v>
      </c>
      <c r="Q41" s="3"/>
      <c r="R41" s="3"/>
    </row>
    <row r="42" spans="1:27">
      <c r="A42" s="5">
        <v>33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0"/>
      <c r="O42" s="4"/>
      <c r="P42" s="8">
        <f t="shared" si="1"/>
        <v>0</v>
      </c>
      <c r="Q42" s="3"/>
      <c r="R42" s="3"/>
    </row>
    <row r="43" spans="1:27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1"/>
        <v>0</v>
      </c>
      <c r="Q43" s="3"/>
      <c r="R43" s="3"/>
    </row>
    <row r="44" spans="1:27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1"/>
        <v>0</v>
      </c>
      <c r="Q44" s="3"/>
      <c r="R44" s="3"/>
    </row>
    <row r="45" spans="1:2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>
      <c r="N47" s="2" t="s">
        <v>22</v>
      </c>
    </row>
    <row r="48" spans="1:27">
      <c r="N48" s="2" t="s">
        <v>13</v>
      </c>
    </row>
    <row r="49" spans="12:14">
      <c r="L49" s="42"/>
      <c r="N49" s="2"/>
    </row>
    <row r="50" spans="12:14">
      <c r="N50" s="2"/>
    </row>
    <row r="51" spans="12:14">
      <c r="N51" s="42" t="s">
        <v>130</v>
      </c>
    </row>
  </sheetData>
  <mergeCells count="7">
    <mergeCell ref="A1:P1"/>
    <mergeCell ref="A2:P2"/>
    <mergeCell ref="N8:O8"/>
    <mergeCell ref="A8:A9"/>
    <mergeCell ref="B8:B9"/>
    <mergeCell ref="C8:G8"/>
    <mergeCell ref="H8:L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6" zoomScale="80" zoomScaleNormal="80" workbookViewId="0">
      <selection activeCell="M10" sqref="M10:M31"/>
    </sheetView>
  </sheetViews>
  <sheetFormatPr defaultRowHeight="15"/>
  <cols>
    <col min="2" max="2" width="40.125" customWidth="1"/>
    <col min="10" max="10" width="9.25" bestFit="1" customWidth="1"/>
    <col min="13" max="13" width="14" customWidth="1"/>
    <col min="14" max="14" width="10.75" customWidth="1"/>
    <col min="15" max="15" width="12.875" customWidth="1"/>
    <col min="16" max="16" width="38.375" customWidth="1"/>
    <col min="23" max="23" width="11.5" customWidth="1"/>
    <col min="25" max="25" width="28.375" customWidth="1"/>
  </cols>
  <sheetData>
    <row r="1" spans="1:18" ht="18.75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3"/>
      <c r="R1" s="3"/>
    </row>
    <row r="2" spans="1:18" ht="18.75">
      <c r="A2" s="43" t="s">
        <v>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61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>
      <c r="A8" s="46" t="s">
        <v>2</v>
      </c>
      <c r="B8" s="47" t="s">
        <v>3</v>
      </c>
      <c r="C8" s="48" t="s">
        <v>26</v>
      </c>
      <c r="D8" s="48"/>
      <c r="E8" s="48"/>
      <c r="F8" s="48"/>
      <c r="G8" s="48"/>
      <c r="H8" s="49" t="s">
        <v>27</v>
      </c>
      <c r="I8" s="49"/>
      <c r="J8" s="49"/>
      <c r="K8" s="49"/>
      <c r="L8" s="49"/>
      <c r="M8" s="21" t="s">
        <v>9</v>
      </c>
      <c r="N8" s="44" t="s">
        <v>24</v>
      </c>
      <c r="O8" s="45"/>
      <c r="P8" s="16" t="s">
        <v>10</v>
      </c>
      <c r="R8" s="1" t="s">
        <v>16</v>
      </c>
    </row>
    <row r="9" spans="1:18">
      <c r="A9" s="46"/>
      <c r="B9" s="47"/>
      <c r="C9" s="22" t="s">
        <v>4</v>
      </c>
      <c r="D9" s="22" t="s">
        <v>5</v>
      </c>
      <c r="E9" s="22" t="s">
        <v>6</v>
      </c>
      <c r="F9" s="22" t="s">
        <v>7</v>
      </c>
      <c r="G9" s="22" t="s">
        <v>25</v>
      </c>
      <c r="H9" s="23" t="s">
        <v>4</v>
      </c>
      <c r="I9" s="23" t="s">
        <v>8</v>
      </c>
      <c r="J9" s="23" t="s">
        <v>6</v>
      </c>
      <c r="K9" s="23" t="s">
        <v>7</v>
      </c>
      <c r="L9" s="23" t="s">
        <v>25</v>
      </c>
      <c r="M9" s="21" t="s">
        <v>23</v>
      </c>
      <c r="N9" s="15" t="s">
        <v>28</v>
      </c>
      <c r="O9" s="15" t="s">
        <v>29</v>
      </c>
      <c r="P9" s="17"/>
      <c r="R9" s="2" t="s">
        <v>11</v>
      </c>
    </row>
    <row r="10" spans="1:18">
      <c r="A10" s="5">
        <v>1</v>
      </c>
      <c r="B10" s="25" t="s">
        <v>64</v>
      </c>
      <c r="C10" s="8">
        <v>90</v>
      </c>
      <c r="D10" s="8">
        <v>90</v>
      </c>
      <c r="E10" s="18"/>
      <c r="F10" s="19"/>
      <c r="G10" s="19"/>
      <c r="H10" s="41">
        <v>90</v>
      </c>
      <c r="I10" s="41">
        <v>90</v>
      </c>
      <c r="J10" s="20"/>
      <c r="K10" s="20"/>
      <c r="L10" s="20"/>
      <c r="M10" s="38">
        <v>62</v>
      </c>
      <c r="N10" s="40">
        <f>AVERAGE(C10:I10)</f>
        <v>90</v>
      </c>
      <c r="O10" s="8">
        <v>90</v>
      </c>
      <c r="P10" s="8">
        <f>(M10*30/100)+(N10*35/100)+(O10*35/100)</f>
        <v>81.599999999999994</v>
      </c>
      <c r="R10" s="2" t="s">
        <v>17</v>
      </c>
    </row>
    <row r="11" spans="1:18">
      <c r="A11" s="5">
        <v>2</v>
      </c>
      <c r="B11" s="25" t="s">
        <v>65</v>
      </c>
      <c r="C11" s="8">
        <v>90</v>
      </c>
      <c r="D11" s="8">
        <v>100</v>
      </c>
      <c r="E11" s="8"/>
      <c r="F11" s="7"/>
      <c r="G11" s="7"/>
      <c r="H11" s="5">
        <v>100</v>
      </c>
      <c r="I11" s="5">
        <v>90</v>
      </c>
      <c r="J11" s="5"/>
      <c r="K11" s="5"/>
      <c r="L11" s="5"/>
      <c r="M11" s="10">
        <v>71</v>
      </c>
      <c r="N11" s="40">
        <f t="shared" ref="N11:N31" si="0">AVERAGE(C11:I11)</f>
        <v>95</v>
      </c>
      <c r="O11" s="8">
        <v>100</v>
      </c>
      <c r="P11" s="8">
        <f t="shared" ref="P11:P31" si="1">(M11*30/100)+(N11*35/100)+(O11*35/100)</f>
        <v>89.55</v>
      </c>
      <c r="R11" s="2" t="s">
        <v>19</v>
      </c>
    </row>
    <row r="12" spans="1:18">
      <c r="A12" s="5">
        <v>3</v>
      </c>
      <c r="B12" s="25" t="s">
        <v>66</v>
      </c>
      <c r="C12" s="8">
        <v>85</v>
      </c>
      <c r="D12" s="5">
        <v>100</v>
      </c>
      <c r="E12" s="8"/>
      <c r="F12" s="7"/>
      <c r="G12" s="7"/>
      <c r="H12" s="5">
        <v>80</v>
      </c>
      <c r="I12" s="5">
        <v>80</v>
      </c>
      <c r="J12" s="5"/>
      <c r="K12" s="5"/>
      <c r="L12" s="5"/>
      <c r="M12" s="10">
        <v>50</v>
      </c>
      <c r="N12" s="40">
        <f t="shared" si="0"/>
        <v>86.25</v>
      </c>
      <c r="O12" s="5">
        <v>100</v>
      </c>
      <c r="P12" s="8">
        <f t="shared" si="1"/>
        <v>80.1875</v>
      </c>
      <c r="R12" s="2" t="s">
        <v>20</v>
      </c>
    </row>
    <row r="13" spans="1:18">
      <c r="A13" s="5">
        <v>4</v>
      </c>
      <c r="B13" s="25" t="s">
        <v>67</v>
      </c>
      <c r="C13" s="8">
        <v>90</v>
      </c>
      <c r="D13" s="5">
        <v>100</v>
      </c>
      <c r="E13" s="8"/>
      <c r="F13" s="7"/>
      <c r="G13" s="7"/>
      <c r="H13" s="5">
        <v>100</v>
      </c>
      <c r="I13" s="5">
        <v>70</v>
      </c>
      <c r="J13" s="5"/>
      <c r="K13" s="5"/>
      <c r="L13" s="5"/>
      <c r="M13" s="10">
        <v>87</v>
      </c>
      <c r="N13" s="40">
        <f t="shared" si="0"/>
        <v>90</v>
      </c>
      <c r="O13" s="5">
        <v>100</v>
      </c>
      <c r="P13" s="8">
        <f t="shared" si="1"/>
        <v>92.6</v>
      </c>
      <c r="R13" s="2" t="s">
        <v>21</v>
      </c>
    </row>
    <row r="14" spans="1:18">
      <c r="A14" s="5">
        <v>5</v>
      </c>
      <c r="B14" s="25" t="s">
        <v>68</v>
      </c>
      <c r="C14" s="8">
        <v>100</v>
      </c>
      <c r="D14" s="8">
        <v>100</v>
      </c>
      <c r="E14" s="8"/>
      <c r="F14" s="7"/>
      <c r="G14" s="7"/>
      <c r="H14" s="5">
        <v>60</v>
      </c>
      <c r="I14" s="5">
        <v>60</v>
      </c>
      <c r="J14" s="5"/>
      <c r="K14" s="5"/>
      <c r="L14" s="5"/>
      <c r="M14" s="10">
        <v>65</v>
      </c>
      <c r="N14" s="40">
        <f t="shared" si="0"/>
        <v>80</v>
      </c>
      <c r="O14" s="8">
        <v>100</v>
      </c>
      <c r="P14" s="8">
        <f t="shared" si="1"/>
        <v>82.5</v>
      </c>
      <c r="R14" s="2" t="s">
        <v>12</v>
      </c>
    </row>
    <row r="15" spans="1:18">
      <c r="A15" s="5">
        <v>6</v>
      </c>
      <c r="B15" s="25" t="s">
        <v>69</v>
      </c>
      <c r="C15" s="8">
        <v>100</v>
      </c>
      <c r="D15" s="5">
        <v>95</v>
      </c>
      <c r="G15" s="7"/>
      <c r="H15" s="8">
        <v>100</v>
      </c>
      <c r="I15" s="7">
        <v>90</v>
      </c>
      <c r="J15" s="5"/>
      <c r="K15" s="5"/>
      <c r="L15" s="5"/>
      <c r="M15" s="10">
        <v>91</v>
      </c>
      <c r="N15" s="40">
        <f t="shared" si="0"/>
        <v>96.25</v>
      </c>
      <c r="O15" s="5">
        <v>95</v>
      </c>
      <c r="P15" s="8">
        <f t="shared" si="1"/>
        <v>94.237499999999997</v>
      </c>
      <c r="R15" s="6"/>
    </row>
    <row r="16" spans="1:18">
      <c r="A16" s="5">
        <v>7</v>
      </c>
      <c r="B16" s="25" t="s">
        <v>70</v>
      </c>
      <c r="C16" s="8">
        <v>90</v>
      </c>
      <c r="D16" s="5">
        <v>85</v>
      </c>
      <c r="E16" s="8"/>
      <c r="F16" s="7"/>
      <c r="G16" s="7"/>
      <c r="H16" s="5">
        <v>100</v>
      </c>
      <c r="I16" s="5">
        <v>90</v>
      </c>
      <c r="J16" s="5"/>
      <c r="K16" s="5"/>
      <c r="L16" s="5"/>
      <c r="M16" s="10">
        <v>81</v>
      </c>
      <c r="N16" s="40">
        <f t="shared" si="0"/>
        <v>91.25</v>
      </c>
      <c r="O16" s="5">
        <v>80</v>
      </c>
      <c r="P16" s="8">
        <f t="shared" si="1"/>
        <v>84.237499999999997</v>
      </c>
      <c r="R16" s="6"/>
    </row>
    <row r="17" spans="1:18">
      <c r="A17" s="5">
        <v>8</v>
      </c>
      <c r="B17" s="25" t="s">
        <v>71</v>
      </c>
      <c r="C17" s="8">
        <v>85</v>
      </c>
      <c r="D17" s="8">
        <v>100</v>
      </c>
      <c r="E17" s="8"/>
      <c r="F17" s="7"/>
      <c r="G17" s="7"/>
      <c r="H17" s="5">
        <v>60</v>
      </c>
      <c r="I17" s="5">
        <v>60</v>
      </c>
      <c r="J17" s="5"/>
      <c r="K17" s="5"/>
      <c r="L17" s="5"/>
      <c r="M17" s="10">
        <v>81</v>
      </c>
      <c r="N17" s="40">
        <f t="shared" si="0"/>
        <v>76.25</v>
      </c>
      <c r="O17" s="8">
        <v>100</v>
      </c>
      <c r="P17" s="8">
        <f t="shared" si="1"/>
        <v>85.987499999999997</v>
      </c>
      <c r="R17" s="6"/>
    </row>
    <row r="18" spans="1:18">
      <c r="A18" s="5">
        <v>9</v>
      </c>
      <c r="B18" s="25" t="s">
        <v>72</v>
      </c>
      <c r="C18" s="8">
        <v>100</v>
      </c>
      <c r="D18" s="8">
        <v>100</v>
      </c>
      <c r="E18" s="8"/>
      <c r="F18" s="7"/>
      <c r="G18" s="7"/>
      <c r="H18" s="5">
        <v>100</v>
      </c>
      <c r="I18" s="5">
        <v>80</v>
      </c>
      <c r="J18" s="5"/>
      <c r="K18" s="5"/>
      <c r="L18" s="5"/>
      <c r="M18" s="10">
        <v>57</v>
      </c>
      <c r="N18" s="40">
        <f t="shared" si="0"/>
        <v>95</v>
      </c>
      <c r="O18" s="8">
        <v>100</v>
      </c>
      <c r="P18" s="8">
        <f t="shared" si="1"/>
        <v>85.35</v>
      </c>
      <c r="R18" s="6"/>
    </row>
    <row r="19" spans="1:18" s="36" customFormat="1">
      <c r="A19" s="32">
        <v>10</v>
      </c>
      <c r="B19" s="33" t="s">
        <v>73</v>
      </c>
      <c r="C19" s="34">
        <v>80</v>
      </c>
      <c r="D19" s="32">
        <v>70</v>
      </c>
      <c r="E19" s="34"/>
      <c r="F19" s="35"/>
      <c r="G19" s="35"/>
      <c r="H19" s="32">
        <v>100</v>
      </c>
      <c r="I19" s="32">
        <v>90</v>
      </c>
      <c r="J19" s="32"/>
      <c r="K19" s="32"/>
      <c r="L19" s="32"/>
      <c r="M19" s="35">
        <v>74</v>
      </c>
      <c r="N19" s="40">
        <f t="shared" si="0"/>
        <v>85</v>
      </c>
      <c r="O19" s="32">
        <v>90</v>
      </c>
      <c r="P19" s="34">
        <f t="shared" si="1"/>
        <v>83.45</v>
      </c>
      <c r="R19" s="37"/>
    </row>
    <row r="20" spans="1:18">
      <c r="A20" s="5">
        <v>11</v>
      </c>
      <c r="B20" s="25" t="s">
        <v>74</v>
      </c>
      <c r="C20" s="8">
        <v>95</v>
      </c>
      <c r="D20" s="5">
        <v>100</v>
      </c>
      <c r="E20" s="8"/>
      <c r="F20" s="7"/>
      <c r="G20" s="7"/>
      <c r="H20" s="5">
        <v>100</v>
      </c>
      <c r="I20" s="5">
        <v>100</v>
      </c>
      <c r="J20" s="5"/>
      <c r="K20" s="5"/>
      <c r="L20" s="5"/>
      <c r="M20" s="10">
        <v>96</v>
      </c>
      <c r="N20" s="40">
        <f t="shared" si="0"/>
        <v>98.75</v>
      </c>
      <c r="O20" s="5">
        <v>100</v>
      </c>
      <c r="P20" s="8">
        <f t="shared" si="1"/>
        <v>98.362499999999997</v>
      </c>
      <c r="R20" s="6"/>
    </row>
    <row r="21" spans="1:18">
      <c r="A21" s="5">
        <v>12</v>
      </c>
      <c r="B21" s="25" t="s">
        <v>75</v>
      </c>
      <c r="C21" s="8">
        <v>95</v>
      </c>
      <c r="D21" s="5">
        <v>100</v>
      </c>
      <c r="E21" s="8"/>
      <c r="F21" s="7"/>
      <c r="G21" s="7"/>
      <c r="H21" s="5">
        <v>100</v>
      </c>
      <c r="I21" s="5">
        <v>100</v>
      </c>
      <c r="J21" s="5"/>
      <c r="K21" s="5"/>
      <c r="L21" s="5"/>
      <c r="M21" s="10">
        <v>77</v>
      </c>
      <c r="N21" s="40">
        <f t="shared" si="0"/>
        <v>98.75</v>
      </c>
      <c r="O21" s="5">
        <v>100</v>
      </c>
      <c r="P21" s="8">
        <f t="shared" si="1"/>
        <v>92.662499999999994</v>
      </c>
      <c r="R21" s="6"/>
    </row>
    <row r="22" spans="1:18">
      <c r="A22" s="5">
        <v>13</v>
      </c>
      <c r="B22" s="25" t="s">
        <v>76</v>
      </c>
      <c r="C22" s="8">
        <v>85</v>
      </c>
      <c r="D22" s="8">
        <v>100</v>
      </c>
      <c r="E22" s="8"/>
      <c r="F22" s="7"/>
      <c r="G22" s="7"/>
      <c r="H22" s="5">
        <v>100</v>
      </c>
      <c r="I22" s="5">
        <v>90</v>
      </c>
      <c r="J22" s="5"/>
      <c r="K22" s="5"/>
      <c r="L22" s="5"/>
      <c r="M22" s="10">
        <v>97</v>
      </c>
      <c r="N22" s="40">
        <f t="shared" si="0"/>
        <v>93.75</v>
      </c>
      <c r="O22" s="8">
        <v>100</v>
      </c>
      <c r="P22" s="8">
        <f t="shared" si="1"/>
        <v>96.912499999999994</v>
      </c>
      <c r="R22" s="6"/>
    </row>
    <row r="23" spans="1:18">
      <c r="A23" s="5">
        <v>14</v>
      </c>
      <c r="B23" s="25" t="s">
        <v>77</v>
      </c>
      <c r="C23" s="8">
        <v>90</v>
      </c>
      <c r="D23" s="5">
        <v>80</v>
      </c>
      <c r="E23" s="8"/>
      <c r="F23" s="7"/>
      <c r="G23" s="7"/>
      <c r="H23" s="5">
        <v>100</v>
      </c>
      <c r="I23" s="5">
        <v>90</v>
      </c>
      <c r="J23" s="5"/>
      <c r="K23" s="5"/>
      <c r="L23" s="5"/>
      <c r="M23" s="10">
        <v>73</v>
      </c>
      <c r="N23" s="40">
        <f t="shared" si="0"/>
        <v>90</v>
      </c>
      <c r="O23" s="5">
        <v>90</v>
      </c>
      <c r="P23" s="8">
        <f t="shared" si="1"/>
        <v>84.9</v>
      </c>
      <c r="R23" s="6"/>
    </row>
    <row r="24" spans="1:18">
      <c r="A24" s="5">
        <v>15</v>
      </c>
      <c r="B24" s="25" t="s">
        <v>78</v>
      </c>
      <c r="C24" s="8">
        <v>60</v>
      </c>
      <c r="D24" s="5">
        <v>65</v>
      </c>
      <c r="E24" s="8"/>
      <c r="F24" s="7"/>
      <c r="G24" s="7"/>
      <c r="H24" s="5">
        <v>100</v>
      </c>
      <c r="I24" s="12">
        <v>90</v>
      </c>
      <c r="J24" s="5"/>
      <c r="K24" s="5"/>
      <c r="L24" s="5"/>
      <c r="M24" s="10">
        <v>72</v>
      </c>
      <c r="N24" s="40">
        <f t="shared" si="0"/>
        <v>78.75</v>
      </c>
      <c r="O24" s="5">
        <v>90</v>
      </c>
      <c r="P24" s="8">
        <f t="shared" si="1"/>
        <v>80.662499999999994</v>
      </c>
      <c r="R24" s="6"/>
    </row>
    <row r="25" spans="1:18">
      <c r="A25" s="5">
        <v>16</v>
      </c>
      <c r="B25" s="25" t="s">
        <v>79</v>
      </c>
      <c r="C25" s="8">
        <v>95</v>
      </c>
      <c r="D25" s="5">
        <v>100</v>
      </c>
      <c r="E25" s="8"/>
      <c r="F25" s="7"/>
      <c r="G25" s="7"/>
      <c r="H25" s="5">
        <v>100</v>
      </c>
      <c r="I25" s="5">
        <v>80</v>
      </c>
      <c r="J25" s="5"/>
      <c r="K25" s="5"/>
      <c r="L25" s="5"/>
      <c r="M25" s="10">
        <v>89</v>
      </c>
      <c r="N25" s="40">
        <f t="shared" si="0"/>
        <v>93.75</v>
      </c>
      <c r="O25" s="5">
        <v>100</v>
      </c>
      <c r="P25" s="8">
        <f t="shared" si="1"/>
        <v>94.512500000000003</v>
      </c>
      <c r="R25" s="6"/>
    </row>
    <row r="26" spans="1:18">
      <c r="A26" s="5">
        <v>17</v>
      </c>
      <c r="B26" s="25" t="s">
        <v>80</v>
      </c>
      <c r="C26" s="8">
        <v>100</v>
      </c>
      <c r="D26" s="5">
        <v>90</v>
      </c>
      <c r="E26" s="8"/>
      <c r="F26" s="7"/>
      <c r="G26" s="7"/>
      <c r="H26" s="5">
        <v>100</v>
      </c>
      <c r="I26" s="5">
        <v>90</v>
      </c>
      <c r="J26" s="5"/>
      <c r="K26" s="5"/>
      <c r="L26" s="5"/>
      <c r="M26" s="10">
        <v>91</v>
      </c>
      <c r="N26" s="40">
        <f t="shared" si="0"/>
        <v>95</v>
      </c>
      <c r="O26" s="5">
        <v>90</v>
      </c>
      <c r="P26" s="8">
        <f t="shared" si="1"/>
        <v>92.05</v>
      </c>
      <c r="R26" s="6"/>
    </row>
    <row r="27" spans="1:18">
      <c r="A27" s="5">
        <v>18</v>
      </c>
      <c r="B27" s="25" t="s">
        <v>81</v>
      </c>
      <c r="C27" s="8">
        <v>85</v>
      </c>
      <c r="D27" s="5">
        <v>100</v>
      </c>
      <c r="E27" s="8"/>
      <c r="F27" s="7"/>
      <c r="G27" s="7"/>
      <c r="H27" s="5">
        <v>100</v>
      </c>
      <c r="I27" s="5">
        <v>90</v>
      </c>
      <c r="J27" s="5"/>
      <c r="K27" s="5"/>
      <c r="L27" s="5"/>
      <c r="M27" s="10">
        <v>95</v>
      </c>
      <c r="N27" s="40">
        <f t="shared" si="0"/>
        <v>93.75</v>
      </c>
      <c r="O27" s="5">
        <v>100</v>
      </c>
      <c r="P27" s="8">
        <f t="shared" si="1"/>
        <v>96.3125</v>
      </c>
      <c r="R27" s="6"/>
    </row>
    <row r="28" spans="1:18">
      <c r="A28" s="5">
        <v>19</v>
      </c>
      <c r="B28" s="25" t="s">
        <v>82</v>
      </c>
      <c r="C28" s="8">
        <v>100</v>
      </c>
      <c r="D28" s="5">
        <v>100</v>
      </c>
      <c r="E28" s="8"/>
      <c r="F28" s="7"/>
      <c r="G28" s="7"/>
      <c r="H28" s="5">
        <v>60</v>
      </c>
      <c r="I28" s="5">
        <v>60</v>
      </c>
      <c r="J28" s="5"/>
      <c r="K28" s="5"/>
      <c r="L28" s="5"/>
      <c r="M28" s="10">
        <v>63</v>
      </c>
      <c r="N28" s="40">
        <f t="shared" si="0"/>
        <v>80</v>
      </c>
      <c r="O28" s="5">
        <v>100</v>
      </c>
      <c r="P28" s="8">
        <f t="shared" si="1"/>
        <v>81.900000000000006</v>
      </c>
      <c r="R28" s="6"/>
    </row>
    <row r="29" spans="1:18">
      <c r="A29" s="5">
        <v>20</v>
      </c>
      <c r="B29" s="25" t="s">
        <v>83</v>
      </c>
      <c r="C29" s="8">
        <v>90</v>
      </c>
      <c r="D29" s="5">
        <v>90</v>
      </c>
      <c r="E29" s="8"/>
      <c r="F29" s="7"/>
      <c r="G29" s="7"/>
      <c r="H29" s="5">
        <v>90</v>
      </c>
      <c r="I29" s="5">
        <v>60</v>
      </c>
      <c r="J29" s="5"/>
      <c r="K29" s="5"/>
      <c r="L29" s="5"/>
      <c r="M29" s="10">
        <v>83</v>
      </c>
      <c r="N29" s="40">
        <f t="shared" si="0"/>
        <v>82.5</v>
      </c>
      <c r="O29" s="5">
        <v>90</v>
      </c>
      <c r="P29" s="8">
        <f t="shared" si="1"/>
        <v>85.275000000000006</v>
      </c>
      <c r="R29" s="6"/>
    </row>
    <row r="30" spans="1:18">
      <c r="A30" s="5">
        <v>21</v>
      </c>
      <c r="B30" s="25" t="s">
        <v>84</v>
      </c>
      <c r="C30" s="8">
        <v>90</v>
      </c>
      <c r="D30" s="8">
        <v>100</v>
      </c>
      <c r="E30" s="8"/>
      <c r="F30" s="7"/>
      <c r="G30" s="7"/>
      <c r="H30" s="5">
        <v>100</v>
      </c>
      <c r="I30" s="5">
        <v>80</v>
      </c>
      <c r="J30" s="5"/>
      <c r="K30" s="5"/>
      <c r="L30" s="5"/>
      <c r="M30" s="10">
        <v>78</v>
      </c>
      <c r="N30" s="40">
        <f t="shared" si="0"/>
        <v>92.5</v>
      </c>
      <c r="O30" s="8">
        <v>100</v>
      </c>
      <c r="P30" s="8">
        <f t="shared" si="1"/>
        <v>90.775000000000006</v>
      </c>
      <c r="R30" s="6"/>
    </row>
    <row r="31" spans="1:18">
      <c r="A31" s="5">
        <v>22</v>
      </c>
      <c r="B31" s="25" t="s">
        <v>85</v>
      </c>
      <c r="C31" s="8">
        <v>85</v>
      </c>
      <c r="D31" s="5">
        <v>100</v>
      </c>
      <c r="E31" s="8"/>
      <c r="F31" s="7"/>
      <c r="G31" s="7"/>
      <c r="H31" s="5">
        <v>100</v>
      </c>
      <c r="I31" s="5">
        <v>90</v>
      </c>
      <c r="J31" s="5"/>
      <c r="K31" s="5"/>
      <c r="L31" s="5"/>
      <c r="M31" s="10">
        <v>91</v>
      </c>
      <c r="N31" s="40">
        <f t="shared" si="0"/>
        <v>93.75</v>
      </c>
      <c r="O31" s="5">
        <v>100</v>
      </c>
      <c r="P31" s="8">
        <f t="shared" si="1"/>
        <v>95.112499999999997</v>
      </c>
      <c r="R31" s="6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</row>
    <row r="34" spans="14:14">
      <c r="N34" s="2" t="s">
        <v>22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42" t="s">
        <v>130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B9" zoomScale="90" zoomScaleNormal="90" workbookViewId="0">
      <selection activeCell="O10" sqref="O10:O31"/>
    </sheetView>
  </sheetViews>
  <sheetFormatPr defaultRowHeight="15"/>
  <cols>
    <col min="2" max="2" width="40.125" customWidth="1"/>
    <col min="10" max="10" width="9.25" bestFit="1" customWidth="1"/>
    <col min="13" max="13" width="14" customWidth="1"/>
    <col min="14" max="14" width="10.75" customWidth="1"/>
    <col min="15" max="15" width="12.875" customWidth="1"/>
    <col min="16" max="16" width="38.375" customWidth="1"/>
    <col min="23" max="23" width="11.5" customWidth="1"/>
    <col min="25" max="25" width="28.375" customWidth="1"/>
  </cols>
  <sheetData>
    <row r="1" spans="1:18" ht="18.75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3"/>
      <c r="R1" s="3"/>
    </row>
    <row r="2" spans="1:18" ht="18.75">
      <c r="A2" s="43" t="s">
        <v>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61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>
      <c r="A8" s="46" t="s">
        <v>2</v>
      </c>
      <c r="B8" s="47" t="s">
        <v>3</v>
      </c>
      <c r="C8" s="48" t="s">
        <v>26</v>
      </c>
      <c r="D8" s="48"/>
      <c r="E8" s="48"/>
      <c r="F8" s="48"/>
      <c r="G8" s="48"/>
      <c r="H8" s="49" t="s">
        <v>27</v>
      </c>
      <c r="I8" s="49"/>
      <c r="J8" s="49"/>
      <c r="K8" s="49"/>
      <c r="L8" s="49"/>
      <c r="M8" s="21" t="s">
        <v>9</v>
      </c>
      <c r="N8" s="44" t="s">
        <v>24</v>
      </c>
      <c r="O8" s="45"/>
      <c r="P8" s="16" t="s">
        <v>10</v>
      </c>
      <c r="R8" s="1" t="s">
        <v>16</v>
      </c>
    </row>
    <row r="9" spans="1:18">
      <c r="A9" s="46"/>
      <c r="B9" s="47"/>
      <c r="C9" s="22" t="s">
        <v>4</v>
      </c>
      <c r="D9" s="22" t="s">
        <v>5</v>
      </c>
      <c r="E9" s="22" t="s">
        <v>6</v>
      </c>
      <c r="F9" s="22" t="s">
        <v>7</v>
      </c>
      <c r="G9" s="22" t="s">
        <v>25</v>
      </c>
      <c r="H9" s="23" t="s">
        <v>4</v>
      </c>
      <c r="I9" s="23" t="s">
        <v>8</v>
      </c>
      <c r="J9" s="23" t="s">
        <v>6</v>
      </c>
      <c r="K9" s="23" t="s">
        <v>7</v>
      </c>
      <c r="L9" s="23" t="s">
        <v>25</v>
      </c>
      <c r="M9" s="21" t="s">
        <v>23</v>
      </c>
      <c r="N9" s="15" t="s">
        <v>28</v>
      </c>
      <c r="O9" s="15" t="s">
        <v>29</v>
      </c>
      <c r="P9" s="17"/>
      <c r="R9" s="2" t="s">
        <v>11</v>
      </c>
    </row>
    <row r="10" spans="1:18">
      <c r="A10" s="5">
        <v>1</v>
      </c>
      <c r="B10" s="27" t="s">
        <v>86</v>
      </c>
      <c r="C10" s="8">
        <v>85</v>
      </c>
      <c r="D10" s="5">
        <v>100</v>
      </c>
      <c r="E10" s="18"/>
      <c r="F10" s="19"/>
      <c r="G10" s="19"/>
      <c r="H10" s="41">
        <v>100</v>
      </c>
      <c r="I10" s="41">
        <v>90</v>
      </c>
      <c r="J10" s="20"/>
      <c r="K10" s="20"/>
      <c r="L10" s="20"/>
      <c r="M10" s="38">
        <v>96</v>
      </c>
      <c r="N10" s="40">
        <f>AVERAGE(C10:I10)</f>
        <v>93.75</v>
      </c>
      <c r="O10" s="40">
        <v>97</v>
      </c>
      <c r="P10" s="8">
        <f>(M10*30/100)+(N10*35/100)+(O10*35/100)</f>
        <v>95.5625</v>
      </c>
      <c r="R10" s="2" t="s">
        <v>17</v>
      </c>
    </row>
    <row r="11" spans="1:18">
      <c r="A11" s="5">
        <v>2</v>
      </c>
      <c r="B11" s="27" t="s">
        <v>87</v>
      </c>
      <c r="C11" s="8">
        <v>100</v>
      </c>
      <c r="D11" s="8">
        <v>100</v>
      </c>
      <c r="E11" s="8"/>
      <c r="F11" s="7"/>
      <c r="G11" s="7"/>
      <c r="H11" s="5">
        <v>90</v>
      </c>
      <c r="I11" s="5">
        <v>90</v>
      </c>
      <c r="J11" s="5"/>
      <c r="K11" s="5"/>
      <c r="L11" s="5"/>
      <c r="M11" s="10">
        <v>77</v>
      </c>
      <c r="N11" s="40">
        <f t="shared" ref="N11:N31" si="0">AVERAGE(C11:I11)</f>
        <v>95</v>
      </c>
      <c r="O11" s="40">
        <v>97</v>
      </c>
      <c r="P11" s="8">
        <f t="shared" ref="P11:P31" si="1">(M11*30/100)+(N11*35/100)+(O11*35/100)</f>
        <v>90.300000000000011</v>
      </c>
      <c r="R11" s="2" t="s">
        <v>19</v>
      </c>
    </row>
    <row r="12" spans="1:18">
      <c r="A12" s="5">
        <v>3</v>
      </c>
      <c r="B12" s="27" t="s">
        <v>88</v>
      </c>
      <c r="C12" s="8">
        <v>85</v>
      </c>
      <c r="D12" s="5">
        <v>100</v>
      </c>
      <c r="E12" s="8"/>
      <c r="F12" s="7"/>
      <c r="G12" s="7"/>
      <c r="H12" s="5">
        <v>100</v>
      </c>
      <c r="I12" s="5">
        <v>90</v>
      </c>
      <c r="J12" s="5"/>
      <c r="K12" s="5"/>
      <c r="L12" s="5"/>
      <c r="M12" s="10">
        <v>97</v>
      </c>
      <c r="N12" s="40">
        <f t="shared" si="0"/>
        <v>93.75</v>
      </c>
      <c r="O12" s="40">
        <v>100</v>
      </c>
      <c r="P12" s="8">
        <f t="shared" si="1"/>
        <v>96.912499999999994</v>
      </c>
      <c r="R12" s="2" t="s">
        <v>20</v>
      </c>
    </row>
    <row r="13" spans="1:18">
      <c r="A13" s="5">
        <v>4</v>
      </c>
      <c r="B13" s="27" t="s">
        <v>89</v>
      </c>
      <c r="C13" s="8">
        <v>100</v>
      </c>
      <c r="D13" s="5">
        <v>100</v>
      </c>
      <c r="E13" s="8"/>
      <c r="F13" s="7"/>
      <c r="G13" s="7"/>
      <c r="H13" s="5">
        <v>100</v>
      </c>
      <c r="I13" s="5">
        <v>80</v>
      </c>
      <c r="J13" s="5"/>
      <c r="K13" s="5"/>
      <c r="L13" s="5"/>
      <c r="M13" s="10">
        <v>94</v>
      </c>
      <c r="N13" s="40">
        <f t="shared" si="0"/>
        <v>95</v>
      </c>
      <c r="O13" s="40">
        <v>100</v>
      </c>
      <c r="P13" s="8">
        <f t="shared" si="1"/>
        <v>96.45</v>
      </c>
      <c r="R13" s="2" t="s">
        <v>21</v>
      </c>
    </row>
    <row r="14" spans="1:18">
      <c r="A14" s="5">
        <v>5</v>
      </c>
      <c r="B14" s="27" t="s">
        <v>90</v>
      </c>
      <c r="C14" s="8">
        <v>95</v>
      </c>
      <c r="D14" s="8">
        <v>100</v>
      </c>
      <c r="E14" s="8"/>
      <c r="F14" s="7"/>
      <c r="G14" s="7"/>
      <c r="H14" s="5">
        <v>100</v>
      </c>
      <c r="I14" s="5">
        <v>95</v>
      </c>
      <c r="J14" s="5"/>
      <c r="K14" s="5"/>
      <c r="L14" s="5"/>
      <c r="M14" s="10">
        <v>87</v>
      </c>
      <c r="N14" s="40">
        <f t="shared" si="0"/>
        <v>97.5</v>
      </c>
      <c r="O14" s="40">
        <v>100</v>
      </c>
      <c r="P14" s="8">
        <f t="shared" si="1"/>
        <v>95.224999999999994</v>
      </c>
      <c r="R14" s="2" t="s">
        <v>12</v>
      </c>
    </row>
    <row r="15" spans="1:18">
      <c r="A15" s="5">
        <v>6</v>
      </c>
      <c r="B15" s="27" t="s">
        <v>91</v>
      </c>
      <c r="C15" s="8">
        <v>100</v>
      </c>
      <c r="D15" s="5">
        <v>100</v>
      </c>
      <c r="E15" s="8"/>
      <c r="F15" s="7"/>
      <c r="G15" s="7"/>
      <c r="H15" s="5">
        <v>90</v>
      </c>
      <c r="I15" s="5">
        <v>100</v>
      </c>
      <c r="J15" s="5"/>
      <c r="K15" s="5"/>
      <c r="L15" s="5"/>
      <c r="M15" s="10">
        <v>59</v>
      </c>
      <c r="N15" s="40">
        <f t="shared" si="0"/>
        <v>97.5</v>
      </c>
      <c r="O15" s="40">
        <v>100</v>
      </c>
      <c r="P15" s="8">
        <f t="shared" si="1"/>
        <v>86.825000000000003</v>
      </c>
      <c r="R15" s="6"/>
    </row>
    <row r="16" spans="1:18">
      <c r="A16" s="5">
        <v>7</v>
      </c>
      <c r="B16" s="27" t="s">
        <v>92</v>
      </c>
      <c r="C16" s="8">
        <v>90</v>
      </c>
      <c r="D16" s="5">
        <v>100</v>
      </c>
      <c r="E16" s="8"/>
      <c r="F16" s="7"/>
      <c r="G16" s="7"/>
      <c r="H16" s="5">
        <v>100</v>
      </c>
      <c r="I16" s="5">
        <v>90</v>
      </c>
      <c r="J16" s="5"/>
      <c r="K16" s="5"/>
      <c r="L16" s="5"/>
      <c r="M16" s="10">
        <v>93</v>
      </c>
      <c r="N16" s="40">
        <f t="shared" si="0"/>
        <v>95</v>
      </c>
      <c r="O16" s="40">
        <v>100</v>
      </c>
      <c r="P16" s="8">
        <f t="shared" si="1"/>
        <v>96.15</v>
      </c>
      <c r="R16" s="6"/>
    </row>
    <row r="17" spans="1:18">
      <c r="A17" s="5">
        <v>8</v>
      </c>
      <c r="B17" s="27" t="s">
        <v>93</v>
      </c>
      <c r="C17" s="8">
        <v>90</v>
      </c>
      <c r="D17" s="8">
        <v>100</v>
      </c>
      <c r="E17" s="8"/>
      <c r="F17" s="7"/>
      <c r="G17" s="7"/>
      <c r="H17" s="5">
        <v>100</v>
      </c>
      <c r="I17" s="5">
        <v>100</v>
      </c>
      <c r="J17" s="5"/>
      <c r="K17" s="5"/>
      <c r="L17" s="5"/>
      <c r="M17" s="10">
        <v>91</v>
      </c>
      <c r="N17" s="40">
        <f t="shared" si="0"/>
        <v>97.5</v>
      </c>
      <c r="O17" s="40">
        <v>100</v>
      </c>
      <c r="P17" s="8">
        <f t="shared" si="1"/>
        <v>96.424999999999997</v>
      </c>
      <c r="R17" s="6"/>
    </row>
    <row r="18" spans="1:18">
      <c r="A18" s="5">
        <v>9</v>
      </c>
      <c r="B18" s="27" t="s">
        <v>94</v>
      </c>
      <c r="C18" s="8">
        <v>100</v>
      </c>
      <c r="D18" s="8">
        <v>100</v>
      </c>
      <c r="E18" s="8"/>
      <c r="F18" s="7"/>
      <c r="G18" s="7"/>
      <c r="H18" s="5">
        <v>100</v>
      </c>
      <c r="I18" s="5">
        <v>90</v>
      </c>
      <c r="J18" s="5"/>
      <c r="K18" s="5"/>
      <c r="L18" s="5"/>
      <c r="M18" s="10">
        <v>90</v>
      </c>
      <c r="N18" s="40">
        <f t="shared" si="0"/>
        <v>97.5</v>
      </c>
      <c r="O18" s="40">
        <v>100</v>
      </c>
      <c r="P18" s="8">
        <f t="shared" si="1"/>
        <v>96.125</v>
      </c>
      <c r="R18" s="6"/>
    </row>
    <row r="19" spans="1:18">
      <c r="A19" s="5">
        <v>10</v>
      </c>
      <c r="B19" s="27" t="s">
        <v>95</v>
      </c>
      <c r="C19" s="8">
        <v>100</v>
      </c>
      <c r="D19" s="5">
        <v>100</v>
      </c>
      <c r="E19" s="8"/>
      <c r="F19" s="7"/>
      <c r="G19" s="7"/>
      <c r="H19" s="5">
        <v>100</v>
      </c>
      <c r="I19" s="5">
        <v>90</v>
      </c>
      <c r="J19" s="5"/>
      <c r="K19" s="5"/>
      <c r="L19" s="5"/>
      <c r="M19" s="10">
        <v>90</v>
      </c>
      <c r="N19" s="40">
        <f t="shared" si="0"/>
        <v>97.5</v>
      </c>
      <c r="O19" s="40">
        <v>100</v>
      </c>
      <c r="P19" s="8">
        <f t="shared" si="1"/>
        <v>96.125</v>
      </c>
      <c r="R19" s="6"/>
    </row>
    <row r="20" spans="1:18">
      <c r="A20" s="5">
        <v>11</v>
      </c>
      <c r="B20" s="27" t="s">
        <v>96</v>
      </c>
      <c r="C20" s="8">
        <v>70</v>
      </c>
      <c r="D20" s="5">
        <v>100</v>
      </c>
      <c r="E20" s="8"/>
      <c r="F20" s="7"/>
      <c r="G20" s="7"/>
      <c r="H20" s="5">
        <v>90</v>
      </c>
      <c r="I20" s="5">
        <v>100</v>
      </c>
      <c r="J20" s="5"/>
      <c r="K20" s="5"/>
      <c r="L20" s="5"/>
      <c r="M20" s="10">
        <v>62</v>
      </c>
      <c r="N20" s="40">
        <f t="shared" si="0"/>
        <v>90</v>
      </c>
      <c r="O20" s="40">
        <v>100</v>
      </c>
      <c r="P20" s="8">
        <f t="shared" si="1"/>
        <v>85.1</v>
      </c>
      <c r="R20" s="6"/>
    </row>
    <row r="21" spans="1:18">
      <c r="A21" s="5">
        <v>12</v>
      </c>
      <c r="B21" s="27" t="s">
        <v>97</v>
      </c>
      <c r="C21" s="8">
        <v>80</v>
      </c>
      <c r="D21" s="5">
        <v>100</v>
      </c>
      <c r="E21" s="8"/>
      <c r="F21" s="7"/>
      <c r="G21" s="7"/>
      <c r="H21" s="5">
        <v>100</v>
      </c>
      <c r="I21" s="5">
        <v>90</v>
      </c>
      <c r="J21" s="5"/>
      <c r="K21" s="5"/>
      <c r="L21" s="5"/>
      <c r="M21" s="10">
        <v>68</v>
      </c>
      <c r="N21" s="40">
        <f t="shared" si="0"/>
        <v>92.5</v>
      </c>
      <c r="O21" s="40">
        <v>97</v>
      </c>
      <c r="P21" s="8">
        <f t="shared" si="1"/>
        <v>86.724999999999994</v>
      </c>
      <c r="R21" s="6"/>
    </row>
    <row r="22" spans="1:18">
      <c r="A22" s="5">
        <v>13</v>
      </c>
      <c r="B22" s="27" t="s">
        <v>98</v>
      </c>
      <c r="C22" s="8">
        <v>80</v>
      </c>
      <c r="D22" s="8">
        <v>100</v>
      </c>
      <c r="E22" s="8"/>
      <c r="F22" s="7"/>
      <c r="G22" s="7"/>
      <c r="H22" s="5">
        <v>100</v>
      </c>
      <c r="I22" s="5">
        <v>100</v>
      </c>
      <c r="J22" s="5"/>
      <c r="K22" s="5"/>
      <c r="L22" s="5"/>
      <c r="M22" s="10">
        <v>90</v>
      </c>
      <c r="N22" s="40">
        <f t="shared" si="0"/>
        <v>95</v>
      </c>
      <c r="O22" s="40">
        <v>100</v>
      </c>
      <c r="P22" s="8">
        <f t="shared" si="1"/>
        <v>95.25</v>
      </c>
      <c r="R22" s="6"/>
    </row>
    <row r="23" spans="1:18">
      <c r="A23" s="5">
        <v>14</v>
      </c>
      <c r="B23" s="27" t="s">
        <v>99</v>
      </c>
      <c r="C23" s="8">
        <v>90</v>
      </c>
      <c r="D23" s="5">
        <v>100</v>
      </c>
      <c r="E23" s="8"/>
      <c r="F23" s="7"/>
      <c r="G23" s="7"/>
      <c r="H23" s="5">
        <v>90</v>
      </c>
      <c r="I23" s="5">
        <v>90</v>
      </c>
      <c r="J23" s="5"/>
      <c r="K23" s="5"/>
      <c r="L23" s="5"/>
      <c r="M23" s="10">
        <v>87</v>
      </c>
      <c r="N23" s="40">
        <f t="shared" si="0"/>
        <v>92.5</v>
      </c>
      <c r="O23" s="40">
        <v>100</v>
      </c>
      <c r="P23" s="8">
        <f t="shared" si="1"/>
        <v>93.474999999999994</v>
      </c>
      <c r="R23" s="6"/>
    </row>
    <row r="24" spans="1:18">
      <c r="A24" s="5">
        <v>15</v>
      </c>
      <c r="B24" s="27" t="s">
        <v>100</v>
      </c>
      <c r="C24" s="8">
        <v>85</v>
      </c>
      <c r="D24" s="5">
        <v>100</v>
      </c>
      <c r="E24" s="8"/>
      <c r="F24" s="7"/>
      <c r="G24" s="7"/>
      <c r="H24" s="5">
        <v>100</v>
      </c>
      <c r="I24" s="12">
        <v>100</v>
      </c>
      <c r="J24" s="5"/>
      <c r="K24" s="5"/>
      <c r="L24" s="5"/>
      <c r="M24" s="10">
        <v>50</v>
      </c>
      <c r="N24" s="40">
        <f t="shared" si="0"/>
        <v>96.25</v>
      </c>
      <c r="O24" s="40">
        <v>100</v>
      </c>
      <c r="P24" s="8">
        <f t="shared" si="1"/>
        <v>83.6875</v>
      </c>
      <c r="R24" s="6"/>
    </row>
    <row r="25" spans="1:18">
      <c r="A25" s="5">
        <v>16</v>
      </c>
      <c r="B25" s="27" t="s">
        <v>101</v>
      </c>
      <c r="C25" s="8">
        <v>90</v>
      </c>
      <c r="D25" s="5">
        <v>100</v>
      </c>
      <c r="E25" s="8"/>
      <c r="F25" s="7"/>
      <c r="G25" s="7"/>
      <c r="H25" s="5">
        <v>100</v>
      </c>
      <c r="I25" s="5">
        <v>90</v>
      </c>
      <c r="J25" s="5"/>
      <c r="K25" s="5"/>
      <c r="L25" s="5"/>
      <c r="M25" s="10">
        <v>88</v>
      </c>
      <c r="N25" s="40">
        <f t="shared" si="0"/>
        <v>95</v>
      </c>
      <c r="O25" s="40">
        <v>100</v>
      </c>
      <c r="P25" s="8">
        <f t="shared" si="1"/>
        <v>94.65</v>
      </c>
      <c r="R25" s="6"/>
    </row>
    <row r="26" spans="1:18">
      <c r="A26" s="5">
        <v>17</v>
      </c>
      <c r="B26" s="27" t="s">
        <v>102</v>
      </c>
      <c r="C26" s="8">
        <v>100</v>
      </c>
      <c r="D26" s="5">
        <v>100</v>
      </c>
      <c r="E26" s="8"/>
      <c r="F26" s="7"/>
      <c r="G26" s="7"/>
      <c r="H26" s="5">
        <v>90</v>
      </c>
      <c r="I26" s="5">
        <v>85</v>
      </c>
      <c r="J26" s="5"/>
      <c r="K26" s="5"/>
      <c r="L26" s="5"/>
      <c r="M26" s="10">
        <v>64</v>
      </c>
      <c r="N26" s="40">
        <f t="shared" si="0"/>
        <v>93.75</v>
      </c>
      <c r="O26" s="40">
        <v>100</v>
      </c>
      <c r="P26" s="8">
        <f t="shared" si="1"/>
        <v>87.012500000000003</v>
      </c>
      <c r="R26" s="6"/>
    </row>
    <row r="27" spans="1:18">
      <c r="A27" s="5">
        <v>18</v>
      </c>
      <c r="B27" s="27" t="s">
        <v>103</v>
      </c>
      <c r="C27" s="8">
        <v>95</v>
      </c>
      <c r="D27" s="5">
        <v>100</v>
      </c>
      <c r="E27" s="8"/>
      <c r="F27" s="7"/>
      <c r="G27" s="7"/>
      <c r="H27" s="5">
        <v>90</v>
      </c>
      <c r="I27" s="5">
        <v>90</v>
      </c>
      <c r="J27" s="5"/>
      <c r="K27" s="5"/>
      <c r="L27" s="5"/>
      <c r="M27" s="10">
        <v>78</v>
      </c>
      <c r="N27" s="40">
        <f t="shared" si="0"/>
        <v>93.75</v>
      </c>
      <c r="O27" s="40">
        <v>90</v>
      </c>
      <c r="P27" s="8">
        <f t="shared" si="1"/>
        <v>87.712500000000006</v>
      </c>
      <c r="R27" s="6"/>
    </row>
    <row r="28" spans="1:18">
      <c r="A28" s="5">
        <v>19</v>
      </c>
      <c r="B28" s="27" t="s">
        <v>104</v>
      </c>
      <c r="C28" s="8">
        <v>85</v>
      </c>
      <c r="D28" s="5">
        <v>100</v>
      </c>
      <c r="E28" s="8"/>
      <c r="F28" s="7"/>
      <c r="G28" s="7"/>
      <c r="H28" s="5">
        <v>100</v>
      </c>
      <c r="I28" s="5">
        <v>90</v>
      </c>
      <c r="J28" s="5"/>
      <c r="K28" s="5"/>
      <c r="L28" s="5"/>
      <c r="M28" s="10">
        <v>53</v>
      </c>
      <c r="N28" s="40">
        <f t="shared" si="0"/>
        <v>93.75</v>
      </c>
      <c r="O28" s="40">
        <v>100</v>
      </c>
      <c r="P28" s="8">
        <f t="shared" si="1"/>
        <v>83.712500000000006</v>
      </c>
      <c r="R28" s="6"/>
    </row>
    <row r="29" spans="1:18">
      <c r="A29" s="5">
        <v>20</v>
      </c>
      <c r="B29" s="27" t="s">
        <v>105</v>
      </c>
      <c r="C29" s="8">
        <v>85</v>
      </c>
      <c r="D29" s="5">
        <v>100</v>
      </c>
      <c r="E29" s="8"/>
      <c r="F29" s="7"/>
      <c r="G29" s="7"/>
      <c r="H29" s="5">
        <v>100</v>
      </c>
      <c r="I29" s="5">
        <v>90</v>
      </c>
      <c r="J29" s="5"/>
      <c r="K29" s="5"/>
      <c r="L29" s="5"/>
      <c r="M29" s="10">
        <v>73</v>
      </c>
      <c r="N29" s="40">
        <f t="shared" si="0"/>
        <v>93.75</v>
      </c>
      <c r="O29" s="40">
        <v>100</v>
      </c>
      <c r="P29" s="8">
        <f t="shared" si="1"/>
        <v>89.712500000000006</v>
      </c>
      <c r="R29" s="6"/>
    </row>
    <row r="30" spans="1:18">
      <c r="A30" s="5">
        <v>21</v>
      </c>
      <c r="B30" s="27" t="s">
        <v>106</v>
      </c>
      <c r="C30" s="8">
        <v>75</v>
      </c>
      <c r="D30" s="8">
        <v>100</v>
      </c>
      <c r="E30" s="8"/>
      <c r="F30" s="7"/>
      <c r="G30" s="7"/>
      <c r="H30" s="5">
        <v>100</v>
      </c>
      <c r="I30" s="5">
        <v>90</v>
      </c>
      <c r="J30" s="5"/>
      <c r="K30" s="5"/>
      <c r="L30" s="5"/>
      <c r="M30" s="10">
        <v>64</v>
      </c>
      <c r="N30" s="40">
        <f t="shared" si="0"/>
        <v>91.25</v>
      </c>
      <c r="O30" s="40">
        <v>100</v>
      </c>
      <c r="P30" s="8">
        <f t="shared" si="1"/>
        <v>86.137500000000003</v>
      </c>
      <c r="R30" s="6"/>
    </row>
    <row r="31" spans="1:18" ht="15.75">
      <c r="A31" s="5">
        <v>22</v>
      </c>
      <c r="B31" s="26" t="s">
        <v>107</v>
      </c>
      <c r="C31" s="8">
        <v>70</v>
      </c>
      <c r="D31" s="5">
        <v>100</v>
      </c>
      <c r="E31" s="8"/>
      <c r="F31" s="7"/>
      <c r="G31" s="7"/>
      <c r="H31" s="5">
        <v>90</v>
      </c>
      <c r="I31" s="5">
        <v>90</v>
      </c>
      <c r="J31" s="5"/>
      <c r="K31" s="5"/>
      <c r="L31" s="5"/>
      <c r="M31" s="10">
        <v>94</v>
      </c>
      <c r="N31" s="40">
        <f t="shared" si="0"/>
        <v>87.5</v>
      </c>
      <c r="O31" s="40">
        <v>100</v>
      </c>
      <c r="P31" s="8">
        <f t="shared" si="1"/>
        <v>93.825000000000003</v>
      </c>
      <c r="R31" s="6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</row>
    <row r="34" spans="14:14">
      <c r="N34" s="2" t="s">
        <v>22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42" t="s">
        <v>130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6" zoomScale="80" zoomScaleNormal="80" workbookViewId="0">
      <selection activeCell="O10" sqref="O10:O31"/>
    </sheetView>
  </sheetViews>
  <sheetFormatPr defaultRowHeight="15"/>
  <cols>
    <col min="2" max="2" width="40.125" customWidth="1"/>
    <col min="10" max="10" width="9.25" bestFit="1" customWidth="1"/>
    <col min="13" max="13" width="14" customWidth="1"/>
    <col min="14" max="14" width="10.75" customWidth="1"/>
    <col min="15" max="15" width="12.875" customWidth="1"/>
    <col min="16" max="16" width="38.375" customWidth="1"/>
    <col min="23" max="23" width="11.5" customWidth="1"/>
    <col min="25" max="25" width="28.375" customWidth="1"/>
  </cols>
  <sheetData>
    <row r="1" spans="1:18" ht="18.75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3"/>
      <c r="R1" s="3"/>
    </row>
    <row r="2" spans="1:18" ht="18.75">
      <c r="A2" s="43" t="s">
        <v>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61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>
      <c r="A8" s="46" t="s">
        <v>2</v>
      </c>
      <c r="B8" s="47" t="s">
        <v>3</v>
      </c>
      <c r="C8" s="48" t="s">
        <v>26</v>
      </c>
      <c r="D8" s="48"/>
      <c r="E8" s="48"/>
      <c r="F8" s="48"/>
      <c r="G8" s="48"/>
      <c r="H8" s="49" t="s">
        <v>27</v>
      </c>
      <c r="I8" s="49"/>
      <c r="J8" s="49"/>
      <c r="K8" s="49"/>
      <c r="L8" s="49"/>
      <c r="M8" s="21" t="s">
        <v>9</v>
      </c>
      <c r="N8" s="44" t="s">
        <v>24</v>
      </c>
      <c r="O8" s="45"/>
      <c r="P8" s="16" t="s">
        <v>10</v>
      </c>
      <c r="R8" s="1" t="s">
        <v>16</v>
      </c>
    </row>
    <row r="9" spans="1:18">
      <c r="A9" s="46"/>
      <c r="B9" s="47"/>
      <c r="C9" s="22" t="s">
        <v>4</v>
      </c>
      <c r="D9" s="22" t="s">
        <v>5</v>
      </c>
      <c r="E9" s="22" t="s">
        <v>6</v>
      </c>
      <c r="F9" s="22" t="s">
        <v>7</v>
      </c>
      <c r="G9" s="22" t="s">
        <v>25</v>
      </c>
      <c r="H9" s="23" t="s">
        <v>4</v>
      </c>
      <c r="I9" s="23" t="s">
        <v>8</v>
      </c>
      <c r="J9" s="23" t="s">
        <v>6</v>
      </c>
      <c r="K9" s="23" t="s">
        <v>7</v>
      </c>
      <c r="L9" s="23" t="s">
        <v>25</v>
      </c>
      <c r="M9" s="21" t="s">
        <v>23</v>
      </c>
      <c r="N9" s="15" t="s">
        <v>28</v>
      </c>
      <c r="O9" s="15" t="s">
        <v>29</v>
      </c>
      <c r="P9" s="17"/>
      <c r="R9" s="2" t="s">
        <v>11</v>
      </c>
    </row>
    <row r="10" spans="1:18">
      <c r="A10" s="5">
        <v>1</v>
      </c>
      <c r="B10" s="28" t="s">
        <v>108</v>
      </c>
      <c r="C10" s="8">
        <v>100</v>
      </c>
      <c r="D10" s="5">
        <v>90</v>
      </c>
      <c r="E10" s="18"/>
      <c r="F10" s="19"/>
      <c r="G10" s="19"/>
      <c r="H10" s="41">
        <v>100</v>
      </c>
      <c r="I10" s="41">
        <v>100</v>
      </c>
      <c r="J10" s="20"/>
      <c r="K10" s="20"/>
      <c r="L10" s="20"/>
      <c r="M10" s="38">
        <v>81</v>
      </c>
      <c r="N10" s="40">
        <f>AVERAGE(C10:L10)</f>
        <v>97.5</v>
      </c>
      <c r="O10" s="41">
        <v>90</v>
      </c>
      <c r="P10" s="8">
        <f>(M10*30/100)+(N10*35/100)+(O10*35/100)</f>
        <v>89.924999999999997</v>
      </c>
      <c r="R10" s="2" t="s">
        <v>17</v>
      </c>
    </row>
    <row r="11" spans="1:18">
      <c r="A11" s="5">
        <v>2</v>
      </c>
      <c r="B11" s="28" t="s">
        <v>109</v>
      </c>
      <c r="C11" s="8">
        <v>100</v>
      </c>
      <c r="D11" s="8">
        <v>90</v>
      </c>
      <c r="E11" s="8"/>
      <c r="F11" s="7"/>
      <c r="G11" s="7"/>
      <c r="H11" s="5">
        <v>100</v>
      </c>
      <c r="I11" s="5">
        <v>90</v>
      </c>
      <c r="J11" s="5"/>
      <c r="K11" s="5"/>
      <c r="L11" s="5"/>
      <c r="M11" s="10">
        <v>82</v>
      </c>
      <c r="N11" s="40">
        <f t="shared" ref="N11:N31" si="0">AVERAGE(C11:L11)</f>
        <v>95</v>
      </c>
      <c r="O11" s="5">
        <v>90</v>
      </c>
      <c r="P11" s="8">
        <f t="shared" ref="P11:P31" si="1">(M11*30/100)+(N11*35/100)+(O11*35/100)</f>
        <v>89.35</v>
      </c>
      <c r="R11" s="2" t="s">
        <v>19</v>
      </c>
    </row>
    <row r="12" spans="1:18">
      <c r="A12" s="5">
        <v>3</v>
      </c>
      <c r="B12" s="28" t="s">
        <v>110</v>
      </c>
      <c r="C12" s="8">
        <v>100</v>
      </c>
      <c r="D12" s="5">
        <v>90</v>
      </c>
      <c r="E12" s="8"/>
      <c r="F12" s="7"/>
      <c r="G12" s="7"/>
      <c r="H12" s="5">
        <v>100</v>
      </c>
      <c r="I12" s="5">
        <v>100</v>
      </c>
      <c r="J12" s="5"/>
      <c r="K12" s="5"/>
      <c r="L12" s="5"/>
      <c r="M12" s="10">
        <v>79</v>
      </c>
      <c r="N12" s="40">
        <f t="shared" si="0"/>
        <v>97.5</v>
      </c>
      <c r="O12" s="5">
        <v>90</v>
      </c>
      <c r="P12" s="8">
        <f t="shared" si="1"/>
        <v>89.325000000000003</v>
      </c>
      <c r="R12" s="2" t="s">
        <v>20</v>
      </c>
    </row>
    <row r="13" spans="1:18">
      <c r="A13" s="5">
        <v>4</v>
      </c>
      <c r="B13" s="28" t="s">
        <v>111</v>
      </c>
      <c r="C13" s="8">
        <v>80</v>
      </c>
      <c r="D13" s="5">
        <v>100</v>
      </c>
      <c r="E13" s="8"/>
      <c r="F13" s="7"/>
      <c r="G13" s="7"/>
      <c r="H13" s="5">
        <v>90</v>
      </c>
      <c r="I13" s="5">
        <v>100</v>
      </c>
      <c r="J13" s="5"/>
      <c r="K13" s="5"/>
      <c r="L13" s="5"/>
      <c r="M13" s="10">
        <v>71</v>
      </c>
      <c r="N13" s="40">
        <f t="shared" si="0"/>
        <v>92.5</v>
      </c>
      <c r="O13" s="5">
        <v>90</v>
      </c>
      <c r="P13" s="8">
        <f t="shared" si="1"/>
        <v>85.174999999999997</v>
      </c>
      <c r="R13" s="2" t="s">
        <v>21</v>
      </c>
    </row>
    <row r="14" spans="1:18">
      <c r="A14" s="5">
        <v>5</v>
      </c>
      <c r="B14" s="28" t="s">
        <v>112</v>
      </c>
      <c r="C14" s="8">
        <v>60</v>
      </c>
      <c r="D14" s="8">
        <v>80</v>
      </c>
      <c r="E14" s="8"/>
      <c r="F14" s="7"/>
      <c r="G14" s="7"/>
      <c r="H14" s="5">
        <v>90</v>
      </c>
      <c r="I14" s="5">
        <v>100</v>
      </c>
      <c r="J14" s="5"/>
      <c r="K14" s="5"/>
      <c r="L14" s="5"/>
      <c r="M14" s="10">
        <v>62</v>
      </c>
      <c r="N14" s="40">
        <f t="shared" si="0"/>
        <v>82.5</v>
      </c>
      <c r="O14" s="5">
        <v>80</v>
      </c>
      <c r="P14" s="8">
        <f t="shared" si="1"/>
        <v>75.474999999999994</v>
      </c>
      <c r="R14" s="2" t="s">
        <v>12</v>
      </c>
    </row>
    <row r="15" spans="1:18">
      <c r="A15" s="5">
        <v>6</v>
      </c>
      <c r="B15" s="28" t="s">
        <v>113</v>
      </c>
      <c r="C15" s="8">
        <v>100</v>
      </c>
      <c r="D15" s="5">
        <v>90</v>
      </c>
      <c r="E15" s="8"/>
      <c r="F15" s="7"/>
      <c r="G15" s="7"/>
      <c r="H15" s="5">
        <v>100</v>
      </c>
      <c r="I15" s="5">
        <v>100</v>
      </c>
      <c r="J15" s="5"/>
      <c r="K15" s="5"/>
      <c r="L15" s="5"/>
      <c r="M15" s="10">
        <v>70</v>
      </c>
      <c r="N15" s="40">
        <f t="shared" si="0"/>
        <v>97.5</v>
      </c>
      <c r="O15" s="5">
        <v>100</v>
      </c>
      <c r="P15" s="8">
        <f t="shared" si="1"/>
        <v>90.125</v>
      </c>
      <c r="R15" s="6"/>
    </row>
    <row r="16" spans="1:18">
      <c r="A16" s="5">
        <v>7</v>
      </c>
      <c r="B16" s="28" t="s">
        <v>114</v>
      </c>
      <c r="C16" s="8">
        <v>85</v>
      </c>
      <c r="D16" s="5">
        <v>75</v>
      </c>
      <c r="E16" s="8"/>
      <c r="F16" s="7"/>
      <c r="G16" s="7"/>
      <c r="H16" s="5">
        <v>80</v>
      </c>
      <c r="I16" s="5">
        <v>90</v>
      </c>
      <c r="J16" s="5"/>
      <c r="K16" s="5"/>
      <c r="L16" s="5"/>
      <c r="M16" s="10">
        <v>55</v>
      </c>
      <c r="N16" s="40">
        <f t="shared" si="0"/>
        <v>82.5</v>
      </c>
      <c r="O16" s="5">
        <v>90</v>
      </c>
      <c r="P16" s="8">
        <f t="shared" si="1"/>
        <v>76.875</v>
      </c>
      <c r="R16" s="6"/>
    </row>
    <row r="17" spans="1:18">
      <c r="A17" s="5">
        <v>8</v>
      </c>
      <c r="B17" s="28" t="s">
        <v>115</v>
      </c>
      <c r="C17" s="8">
        <v>90</v>
      </c>
      <c r="D17" s="8">
        <v>100</v>
      </c>
      <c r="E17" s="8"/>
      <c r="F17" s="7"/>
      <c r="G17" s="7"/>
      <c r="H17" s="5">
        <v>100</v>
      </c>
      <c r="I17" s="5">
        <v>90</v>
      </c>
      <c r="J17" s="5"/>
      <c r="K17" s="5"/>
      <c r="L17" s="5"/>
      <c r="M17" s="10">
        <v>38</v>
      </c>
      <c r="N17" s="40">
        <f t="shared" si="0"/>
        <v>95</v>
      </c>
      <c r="O17" s="5">
        <v>90</v>
      </c>
      <c r="P17" s="8">
        <f t="shared" si="1"/>
        <v>76.150000000000006</v>
      </c>
      <c r="R17" s="6"/>
    </row>
    <row r="18" spans="1:18">
      <c r="A18" s="5">
        <v>9</v>
      </c>
      <c r="B18" s="28" t="s">
        <v>116</v>
      </c>
      <c r="C18" s="8">
        <v>80</v>
      </c>
      <c r="D18" s="8">
        <v>95</v>
      </c>
      <c r="E18" s="8"/>
      <c r="F18" s="7"/>
      <c r="G18" s="7"/>
      <c r="H18" s="5">
        <v>90</v>
      </c>
      <c r="I18" s="5">
        <v>90</v>
      </c>
      <c r="J18" s="5"/>
      <c r="K18" s="5"/>
      <c r="L18" s="5"/>
      <c r="M18" s="10">
        <v>79</v>
      </c>
      <c r="N18" s="40">
        <f t="shared" si="0"/>
        <v>88.75</v>
      </c>
      <c r="O18" s="5">
        <v>90</v>
      </c>
      <c r="P18" s="8">
        <f t="shared" si="1"/>
        <v>86.262500000000003</v>
      </c>
      <c r="R18" s="6"/>
    </row>
    <row r="19" spans="1:18">
      <c r="A19" s="5">
        <v>10</v>
      </c>
      <c r="B19" s="28" t="s">
        <v>117</v>
      </c>
      <c r="C19" s="8">
        <v>80</v>
      </c>
      <c r="D19" s="5">
        <v>90</v>
      </c>
      <c r="E19" s="8"/>
      <c r="F19" s="7"/>
      <c r="G19" s="7"/>
      <c r="H19" s="5">
        <v>100</v>
      </c>
      <c r="I19" s="5">
        <v>70</v>
      </c>
      <c r="J19" s="5"/>
      <c r="K19" s="5"/>
      <c r="L19" s="5"/>
      <c r="M19" s="10">
        <v>61</v>
      </c>
      <c r="N19" s="40">
        <f t="shared" si="0"/>
        <v>85</v>
      </c>
      <c r="O19" s="5">
        <v>100</v>
      </c>
      <c r="P19" s="8">
        <f t="shared" si="1"/>
        <v>83.05</v>
      </c>
      <c r="R19" s="6"/>
    </row>
    <row r="20" spans="1:18">
      <c r="A20" s="5">
        <v>11</v>
      </c>
      <c r="B20" s="28" t="s">
        <v>118</v>
      </c>
      <c r="C20" s="8">
        <v>65</v>
      </c>
      <c r="D20" s="5">
        <v>70</v>
      </c>
      <c r="E20" s="8"/>
      <c r="F20" s="7"/>
      <c r="G20" s="7"/>
      <c r="H20" s="5">
        <v>80</v>
      </c>
      <c r="I20" s="5">
        <v>60</v>
      </c>
      <c r="J20" s="5"/>
      <c r="K20" s="5"/>
      <c r="L20" s="5"/>
      <c r="M20" s="10">
        <v>28</v>
      </c>
      <c r="N20" s="40">
        <f t="shared" si="0"/>
        <v>68.75</v>
      </c>
      <c r="O20" s="5">
        <v>80</v>
      </c>
      <c r="P20" s="8">
        <f t="shared" si="1"/>
        <v>60.462499999999999</v>
      </c>
      <c r="R20" s="6"/>
    </row>
    <row r="21" spans="1:18">
      <c r="A21" s="5">
        <v>12</v>
      </c>
      <c r="B21" s="28" t="s">
        <v>119</v>
      </c>
      <c r="C21" s="8">
        <v>90</v>
      </c>
      <c r="D21" s="5">
        <v>100</v>
      </c>
      <c r="E21" s="8"/>
      <c r="F21" s="7"/>
      <c r="G21" s="7"/>
      <c r="H21" s="5">
        <v>90</v>
      </c>
      <c r="I21" s="5">
        <v>100</v>
      </c>
      <c r="J21" s="5"/>
      <c r="K21" s="5"/>
      <c r="L21" s="5"/>
      <c r="M21" s="10">
        <v>85</v>
      </c>
      <c r="N21" s="40">
        <f>AVERAGE(C21:L21)</f>
        <v>95</v>
      </c>
      <c r="O21" s="5">
        <v>90</v>
      </c>
      <c r="P21" s="8">
        <f t="shared" si="1"/>
        <v>90.25</v>
      </c>
      <c r="R21" s="6"/>
    </row>
    <row r="22" spans="1:18">
      <c r="A22" s="5">
        <v>13</v>
      </c>
      <c r="B22" s="28" t="s">
        <v>120</v>
      </c>
      <c r="C22" s="8">
        <v>90</v>
      </c>
      <c r="D22" s="8">
        <v>90</v>
      </c>
      <c r="E22" s="8"/>
      <c r="F22" s="7"/>
      <c r="G22" s="7"/>
      <c r="H22" s="5">
        <v>100</v>
      </c>
      <c r="I22" s="5">
        <v>80</v>
      </c>
      <c r="J22" s="5"/>
      <c r="K22" s="5"/>
      <c r="L22" s="5"/>
      <c r="M22" s="10">
        <v>52</v>
      </c>
      <c r="N22" s="40">
        <f t="shared" si="0"/>
        <v>90</v>
      </c>
      <c r="O22" s="5">
        <v>100</v>
      </c>
      <c r="P22" s="8">
        <f t="shared" si="1"/>
        <v>82.1</v>
      </c>
      <c r="R22" s="6"/>
    </row>
    <row r="23" spans="1:18">
      <c r="A23" s="5">
        <v>14</v>
      </c>
      <c r="B23" s="28" t="s">
        <v>121</v>
      </c>
      <c r="C23" s="8">
        <v>75</v>
      </c>
      <c r="D23" s="5">
        <v>75</v>
      </c>
      <c r="E23" s="8"/>
      <c r="F23" s="7"/>
      <c r="G23" s="7"/>
      <c r="H23" s="5">
        <v>90</v>
      </c>
      <c r="I23" s="5">
        <v>90</v>
      </c>
      <c r="J23" s="5"/>
      <c r="K23" s="5"/>
      <c r="L23" s="5"/>
      <c r="M23" s="10">
        <v>81</v>
      </c>
      <c r="N23" s="40">
        <f t="shared" si="0"/>
        <v>82.5</v>
      </c>
      <c r="O23" s="5">
        <v>90</v>
      </c>
      <c r="P23" s="8">
        <f t="shared" si="1"/>
        <v>84.674999999999997</v>
      </c>
      <c r="R23" s="6"/>
    </row>
    <row r="24" spans="1:18">
      <c r="A24" s="5">
        <v>15</v>
      </c>
      <c r="B24" s="28" t="s">
        <v>122</v>
      </c>
      <c r="C24" s="8">
        <v>90</v>
      </c>
      <c r="D24" s="5">
        <v>90</v>
      </c>
      <c r="E24" s="8"/>
      <c r="F24" s="7"/>
      <c r="G24" s="7"/>
      <c r="H24" s="5">
        <v>70</v>
      </c>
      <c r="I24" s="12">
        <v>70</v>
      </c>
      <c r="J24" s="5"/>
      <c r="K24" s="5"/>
      <c r="L24" s="5"/>
      <c r="M24" s="10">
        <v>82</v>
      </c>
      <c r="N24" s="40">
        <f t="shared" si="0"/>
        <v>80</v>
      </c>
      <c r="O24" s="5">
        <v>70</v>
      </c>
      <c r="P24" s="8">
        <f t="shared" si="1"/>
        <v>77.099999999999994</v>
      </c>
      <c r="R24" s="6"/>
    </row>
    <row r="25" spans="1:18">
      <c r="A25" s="5">
        <v>16</v>
      </c>
      <c r="B25" s="28" t="s">
        <v>123</v>
      </c>
      <c r="C25" s="8">
        <v>90</v>
      </c>
      <c r="D25" s="5">
        <v>80</v>
      </c>
      <c r="E25" s="8"/>
      <c r="F25" s="7"/>
      <c r="G25" s="7"/>
      <c r="H25" s="5">
        <v>100</v>
      </c>
      <c r="I25" s="5">
        <v>90</v>
      </c>
      <c r="J25" s="5"/>
      <c r="K25" s="5"/>
      <c r="L25" s="5"/>
      <c r="M25" s="10">
        <v>71</v>
      </c>
      <c r="N25" s="40">
        <f t="shared" si="0"/>
        <v>90</v>
      </c>
      <c r="O25" s="5">
        <v>100</v>
      </c>
      <c r="P25" s="8">
        <f t="shared" si="1"/>
        <v>87.8</v>
      </c>
      <c r="R25" s="6"/>
    </row>
    <row r="26" spans="1:18">
      <c r="A26" s="5">
        <v>17</v>
      </c>
      <c r="B26" s="28" t="s">
        <v>124</v>
      </c>
      <c r="C26" s="8">
        <v>70</v>
      </c>
      <c r="D26" s="5">
        <v>90</v>
      </c>
      <c r="E26" s="8"/>
      <c r="F26" s="7"/>
      <c r="G26" s="7"/>
      <c r="H26" s="5">
        <v>80</v>
      </c>
      <c r="I26" s="5">
        <v>70</v>
      </c>
      <c r="J26" s="5"/>
      <c r="K26" s="5"/>
      <c r="L26" s="5"/>
      <c r="M26" s="10">
        <v>30</v>
      </c>
      <c r="N26" s="40">
        <f t="shared" si="0"/>
        <v>77.5</v>
      </c>
      <c r="O26" s="5">
        <v>80</v>
      </c>
      <c r="P26" s="8">
        <f t="shared" si="1"/>
        <v>64.125</v>
      </c>
      <c r="R26" s="6"/>
    </row>
    <row r="27" spans="1:18">
      <c r="A27" s="5">
        <v>18</v>
      </c>
      <c r="B27" s="28" t="s">
        <v>125</v>
      </c>
      <c r="C27" s="8">
        <v>95</v>
      </c>
      <c r="D27" s="5">
        <v>90</v>
      </c>
      <c r="E27" s="8"/>
      <c r="F27" s="7"/>
      <c r="G27" s="7"/>
      <c r="H27" s="5">
        <v>80</v>
      </c>
      <c r="I27" s="5">
        <v>90</v>
      </c>
      <c r="J27" s="5"/>
      <c r="K27" s="5"/>
      <c r="L27" s="5"/>
      <c r="M27" s="10">
        <v>88</v>
      </c>
      <c r="N27" s="40">
        <f t="shared" si="0"/>
        <v>88.75</v>
      </c>
      <c r="O27" s="5">
        <v>80</v>
      </c>
      <c r="P27" s="8">
        <f t="shared" si="1"/>
        <v>85.462500000000006</v>
      </c>
      <c r="R27" s="6"/>
    </row>
    <row r="28" spans="1:18">
      <c r="A28" s="5">
        <v>19</v>
      </c>
      <c r="B28" s="28" t="s">
        <v>126</v>
      </c>
      <c r="C28" s="8">
        <v>90</v>
      </c>
      <c r="D28" s="5">
        <v>90</v>
      </c>
      <c r="E28" s="8"/>
      <c r="F28" s="7"/>
      <c r="G28" s="7"/>
      <c r="H28" s="5">
        <v>100</v>
      </c>
      <c r="I28" s="5">
        <v>100</v>
      </c>
      <c r="J28" s="5"/>
      <c r="K28" s="5"/>
      <c r="L28" s="5"/>
      <c r="M28" s="10">
        <v>74</v>
      </c>
      <c r="N28" s="40">
        <f t="shared" si="0"/>
        <v>95</v>
      </c>
      <c r="O28" s="5">
        <v>100</v>
      </c>
      <c r="P28" s="8">
        <f t="shared" si="1"/>
        <v>90.45</v>
      </c>
      <c r="R28" s="6"/>
    </row>
    <row r="29" spans="1:18">
      <c r="A29" s="5">
        <v>20</v>
      </c>
      <c r="B29" s="28" t="s">
        <v>127</v>
      </c>
      <c r="C29" s="8">
        <v>95</v>
      </c>
      <c r="D29" s="5">
        <v>90</v>
      </c>
      <c r="E29" s="8"/>
      <c r="F29" s="7"/>
      <c r="G29" s="7"/>
      <c r="H29" s="5">
        <v>90</v>
      </c>
      <c r="I29" s="5">
        <v>90</v>
      </c>
      <c r="J29" s="5"/>
      <c r="K29" s="5"/>
      <c r="L29" s="5"/>
      <c r="M29" s="10">
        <v>88</v>
      </c>
      <c r="N29" s="40">
        <f t="shared" si="0"/>
        <v>91.25</v>
      </c>
      <c r="O29" s="5">
        <v>90</v>
      </c>
      <c r="P29" s="8">
        <f t="shared" si="1"/>
        <v>89.837500000000006</v>
      </c>
      <c r="R29" s="6"/>
    </row>
    <row r="30" spans="1:18">
      <c r="A30" s="5">
        <v>21</v>
      </c>
      <c r="B30" s="28" t="s">
        <v>128</v>
      </c>
      <c r="C30" s="8">
        <v>70</v>
      </c>
      <c r="D30" s="8">
        <v>85</v>
      </c>
      <c r="E30" s="8"/>
      <c r="F30" s="7"/>
      <c r="G30" s="7"/>
      <c r="H30" s="5">
        <v>90</v>
      </c>
      <c r="I30" s="5">
        <v>90</v>
      </c>
      <c r="J30" s="5"/>
      <c r="K30" s="5"/>
      <c r="L30" s="5"/>
      <c r="M30" s="10">
        <v>85</v>
      </c>
      <c r="N30" s="40">
        <f t="shared" si="0"/>
        <v>83.75</v>
      </c>
      <c r="O30" s="5">
        <v>90</v>
      </c>
      <c r="P30" s="8">
        <f t="shared" si="1"/>
        <v>86.3125</v>
      </c>
      <c r="R30" s="6"/>
    </row>
    <row r="31" spans="1:18">
      <c r="A31" s="5">
        <v>22</v>
      </c>
      <c r="B31" s="28" t="s">
        <v>129</v>
      </c>
      <c r="C31" s="8">
        <v>90</v>
      </c>
      <c r="D31" s="5">
        <v>75</v>
      </c>
      <c r="E31" s="8"/>
      <c r="F31" s="7"/>
      <c r="G31" s="7"/>
      <c r="H31" s="5">
        <v>100</v>
      </c>
      <c r="I31" s="5">
        <v>100</v>
      </c>
      <c r="J31" s="5"/>
      <c r="K31" s="5"/>
      <c r="L31" s="5"/>
      <c r="M31" s="10">
        <v>78</v>
      </c>
      <c r="N31" s="40">
        <f t="shared" si="0"/>
        <v>91.25</v>
      </c>
      <c r="O31" s="5">
        <v>100</v>
      </c>
      <c r="P31" s="8">
        <f t="shared" si="1"/>
        <v>90.337500000000006</v>
      </c>
      <c r="R31" s="6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</row>
    <row r="34" spans="14:14">
      <c r="N34" s="2" t="s">
        <v>22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42" t="s">
        <v>130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 TOPAZ</vt:lpstr>
      <vt:lpstr>8 INTAN</vt:lpstr>
      <vt:lpstr>8 KYANITE</vt:lpstr>
      <vt:lpstr>8 SAFIR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2022-12-13T01:59:23Z</dcterms:created>
  <dcterms:modified xsi:type="dcterms:W3CDTF">2026-10-23T03:06:13Z</dcterms:modified>
</cp:coreProperties>
</file>