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4" rupBuild="24026"/>
  <workbookPr defaultThemeVersion="166925"/>
  <bookViews>
    <workbookView xWindow="4872" yWindow="2340" windowWidth="8856" windowHeight="8880" activeTab="0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<sst xmlns="http://schemas.openxmlformats.org/spreadsheetml/2006/main" uniqueCount="97" count="97">
  <si>
    <t xml:space="preserve">KELAS </t>
  </si>
  <si>
    <t>MATA PELAJARAN</t>
  </si>
  <si>
    <t>NO</t>
  </si>
  <si>
    <t xml:space="preserve">NAMA </t>
  </si>
  <si>
    <t>LM 1</t>
  </si>
  <si>
    <t>LM 2</t>
  </si>
  <si>
    <t>LM3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</si>
  <si>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</si>
  <si>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</si>
  <si>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</si>
  <si>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</si>
  <si>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</si>
  <si>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</si>
  <si>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</si>
  <si>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</si>
  <si>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</si>
  <si>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</si>
  <si>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</si>
  <si>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</si>
  <si>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</si>
  <si>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</si>
  <si>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Medan,     Januari 2026</t>
  </si>
  <si>
    <t>STS</t>
  </si>
  <si>
    <t>RATA-RATA</t>
  </si>
  <si>
    <t>FORMATIF / NH</t>
  </si>
  <si>
    <t>FORMATIF / UH</t>
  </si>
  <si>
    <t>NH</t>
  </si>
  <si>
    <t>UH</t>
  </si>
  <si>
    <t>_________________________</t>
  </si>
  <si>
    <t>: BAHASA INDONESIA</t>
  </si>
  <si>
    <t>: GANJIL</t>
  </si>
  <si>
    <t>Achmad Firzha Ramdhani</t>
  </si>
  <si>
    <t>Alif Hanafi</t>
  </si>
  <si>
    <t>Andi Muhammad Reyhan</t>
  </si>
  <si>
    <t>Arya Winsyah Pratama</t>
  </si>
  <si>
    <t>Athaillah Irfan Kalingga</t>
  </si>
  <si>
    <t>Fakhri Adam Nasution</t>
  </si>
  <si>
    <t>Fatih Septian</t>
  </si>
  <si>
    <t>Hafiz Alviranza</t>
  </si>
  <si>
    <t>Hakan Ozalan Bangun</t>
  </si>
  <si>
    <t>Hanif Al Faruq</t>
  </si>
  <si>
    <t>Haziq Syahir</t>
  </si>
  <si>
    <t>Jhourgi Akbar Hutapea</t>
  </si>
  <si>
    <t>Mirza Abbasy Gunawan</t>
  </si>
  <si>
    <t>Muhammad Aufa Dzakwan</t>
  </si>
  <si>
    <t>Muhammad Fadil</t>
  </si>
  <si>
    <t>Muhammad Hafiz</t>
  </si>
  <si>
    <t>Pradipta Amzari</t>
  </si>
  <si>
    <t>Raffi Al Hafiz</t>
  </si>
  <si>
    <t>Rangga Adi Putra</t>
  </si>
  <si>
    <t>Raziq Ash Shoufi</t>
  </si>
  <si>
    <t>Sabiq Al Fathin Saragih</t>
  </si>
  <si>
    <t>Syahmi El Jundi</t>
  </si>
  <si>
    <t>Thaqif Aghadzaki</t>
  </si>
  <si>
    <t>Varellim Shah Ramadhan</t>
  </si>
  <si>
    <t>Zayn Aliando Dermawan</t>
  </si>
  <si>
    <t>Lutfy Sakhi Zaydan</t>
  </si>
  <si>
    <t>: ZAMRUD</t>
  </si>
  <si>
    <t>: TOPAZ</t>
  </si>
  <si>
    <r>
      <rPr>
        <sz val="11"/>
        <color rgb="FF000000"/>
        <rFont val="Arial"/>
      </rPr>
      <t>ADABI LIMANSYAH SAGALA</t>
    </r>
  </si>
  <si>
    <r>
      <rPr>
        <sz val="11"/>
        <color rgb="FF000000"/>
        <rFont val="Arial"/>
      </rPr>
      <t>AHMAD YUSRI HABIBI</t>
    </r>
  </si>
  <si>
    <r>
      <rPr>
        <sz val="11"/>
        <color rgb="FF000000"/>
        <rFont val="Arial"/>
      </rPr>
      <t>ALBIZRA WALI SUHERI</t>
    </r>
  </si>
  <si>
    <r>
      <rPr>
        <sz val="11"/>
        <color rgb="FF000000"/>
        <rFont val="Arial"/>
      </rPr>
      <t>ANDRIAN SAPUTRA</t>
    </r>
  </si>
  <si>
    <r>
      <rPr>
        <sz val="11"/>
        <color rgb="FF000000"/>
        <rFont val="Arial"/>
      </rPr>
      <t>ARSY ALFARIZI</t>
    </r>
  </si>
  <si>
    <r>
      <rPr>
        <sz val="11"/>
        <color rgb="FF000000"/>
        <rFont val="Arial"/>
      </rPr>
      <t>ARZIKI ALI AZKA</t>
    </r>
  </si>
  <si>
    <r>
      <rPr>
        <sz val="11"/>
        <color rgb="FF000000"/>
        <rFont val="Arial"/>
      </rPr>
      <t>ATHALLAH AL SYUTHAN N</t>
    </r>
  </si>
  <si>
    <r>
      <rPr>
        <sz val="11"/>
        <color rgb="FF000000"/>
        <rFont val="Arial"/>
      </rPr>
      <t>CHIKO AMANDA DIKA</t>
    </r>
  </si>
  <si>
    <r>
      <rPr>
        <sz val="11"/>
        <color rgb="FF000000"/>
        <rFont val="Arial"/>
      </rPr>
      <t>DIMAS ALVINO</t>
    </r>
  </si>
  <si>
    <r>
      <rPr>
        <sz val="11"/>
        <color rgb="FF000000"/>
        <rFont val="Arial"/>
      </rPr>
      <t>FADHIL RAJABI</t>
    </r>
  </si>
  <si>
    <r>
      <rPr>
        <sz val="11"/>
        <color rgb="FF000000"/>
        <rFont val="Arial"/>
      </rPr>
      <t>FAEYZA MOUZA QHALISH</t>
    </r>
  </si>
  <si>
    <r>
      <rPr>
        <sz val="11"/>
        <color rgb="FF000000"/>
        <rFont val="Arial"/>
      </rPr>
      <t>FAIZ PINTARA ALHAFIZ</t>
    </r>
  </si>
  <si>
    <r>
      <rPr>
        <sz val="11"/>
        <color rgb="FF000000"/>
        <rFont val="Arial"/>
      </rPr>
      <t>FATHIR AL GHIFARY LESMANA</t>
    </r>
  </si>
  <si>
    <r>
      <rPr>
        <sz val="11"/>
        <color rgb="FF000000"/>
        <rFont val="Arial"/>
      </rPr>
      <t>GHAISAN AGHA GAUTAMA</t>
    </r>
  </si>
  <si>
    <r>
      <rPr>
        <sz val="11"/>
        <color rgb="FF000000"/>
        <rFont val="Arial"/>
      </rPr>
      <t>JAYA HARTOYO FAHRIAN</t>
    </r>
  </si>
  <si>
    <r>
      <rPr>
        <sz val="11"/>
        <color rgb="FF000000"/>
        <rFont val="Arial"/>
      </rPr>
      <t>M HABIBSYAH SYUKUR</t>
    </r>
  </si>
  <si>
    <r>
      <rPr>
        <sz val="11"/>
        <color rgb="FF000000"/>
        <rFont val="Arial"/>
      </rPr>
      <t xml:space="preserve">M RIFFAT SYAH INDRA </t>
    </r>
  </si>
  <si>
    <r>
      <rPr>
        <sz val="11"/>
        <color rgb="FF000000"/>
        <rFont val="Arial"/>
      </rPr>
      <t>MHD DAYAN SANI ADMAJA</t>
    </r>
  </si>
  <si>
    <r>
      <rPr>
        <sz val="11"/>
        <color rgb="FF000000"/>
        <rFont val="Arial"/>
      </rPr>
      <t>MHD JUSTICIO PRADIPTO</t>
    </r>
  </si>
  <si>
    <r>
      <rPr>
        <sz val="11"/>
        <color rgb="FF000000"/>
        <rFont val="Arial"/>
      </rPr>
      <t>MUHAMMAD AFKAR AYUB</t>
    </r>
  </si>
  <si>
    <r>
      <rPr>
        <sz val="11"/>
        <color rgb="FF000000"/>
        <rFont val="Arial"/>
      </rPr>
      <t>MUHAMMAD ALIF YUSUF ILHAM</t>
    </r>
  </si>
  <si>
    <r>
      <rPr>
        <sz val="11"/>
        <color rgb="FF000000"/>
        <rFont val="Arial"/>
      </rPr>
      <t>MUHAMMAD HAFIZ FADLI</t>
    </r>
  </si>
  <si>
    <r>
      <rPr>
        <sz val="11"/>
        <color rgb="FF000000"/>
        <rFont val="Arial"/>
      </rPr>
      <t>MUHAMMAD RAHMAN</t>
    </r>
  </si>
  <si>
    <r>
      <rPr>
        <sz val="11"/>
        <color rgb="FF000000"/>
        <rFont val="Arial"/>
      </rPr>
      <t>MUHAMMAD RAIHAN RASYIDDIN</t>
    </r>
  </si>
  <si>
    <r>
      <rPr>
        <sz val="11"/>
        <color rgb="FF000000"/>
        <rFont val="Arial"/>
      </rPr>
      <t>RADITYA NAUFAL PUTRA</t>
    </r>
  </si>
  <si>
    <r>
      <rPr>
        <sz val="11"/>
        <color rgb="FF000000"/>
        <rFont val="Arial"/>
      </rPr>
      <t>RAFFA NURZI SHAULA</t>
    </r>
  </si>
  <si>
    <r>
      <rPr>
        <sz val="11"/>
        <color rgb="FF000000"/>
        <rFont val="Arial"/>
      </rPr>
      <t>RAHMAD ARJUNA SIREGAR</t>
    </r>
  </si>
  <si>
    <r>
      <rPr>
        <sz val="11"/>
        <color rgb="FF000000"/>
        <rFont val="Arial"/>
      </rPr>
      <t>SULTHAN AUFAR AL FIKRI NASUTION</t>
    </r>
  </si>
  <si>
    <r>
      <rPr>
        <sz val="11"/>
        <color rgb="FF000000"/>
        <rFont val="Arial"/>
      </rPr>
      <t>WILDAN TAMEEM BAHRI</t>
    </r>
  </si>
  <si>
    <r>
      <rPr>
        <sz val="11"/>
        <color rgb="FF000000"/>
        <rFont val="Arial"/>
      </rPr>
      <t>ILHAM HAFIZ</t>
    </r>
  </si>
  <si>
    <r>
      <rPr>
        <sz val="11"/>
        <color rgb="FF000000"/>
        <rFont val="Arial"/>
      </rPr>
      <t>MUHAMMAD HABIB SYARIF MAULANA</t>
    </r>
  </si>
  <si>
    <r>
      <rPr>
        <sz val="11"/>
        <rFont val="Arial"/>
      </rPr>
      <t>#DIV/0!</t>
    </r>
  </si>
  <si>
    <r>
      <rPr>
        <sz val="11"/>
        <rFont val="Arial"/>
      </rPr>
      <t>#DIV/0!</t>
    </r>
  </si>
  <si>
    <r>
      <rPr>
        <sz val="11"/>
        <rFont val="Arial"/>
      </rPr>
      <t>#DIV/0!</t>
    </r>
  </si>
  <si>
    <r>
      <rPr>
        <sz val="11"/>
        <rFont val="Arial"/>
      </rPr>
      <t>#DIV/0!</t>
    </r>
  </si>
  <si>
    <r>
      <rPr>
        <sz val="11"/>
        <rFont val="Arial"/>
      </rPr>
      <t>#DIV/0!</t>
    </r>
  </si>
  <si>
    <r>
      <rPr>
        <sz val="11"/>
        <rFont val="Arial"/>
      </rPr>
      <t>#DIV/0!</t>
    </r>
  </si>
  <si>
    <t>p</t>
  </si>
</sst>
</file>

<file path=xl/styles.xml><?xml version="1.0" encoding="utf-8"?>
<styleSheet xmlns="http://schemas.openxmlformats.org/spreadsheetml/2006/main">
  <numFmts count="2">
    <numFmt numFmtId="0" formatCode="General"/>
    <numFmt numFmtId="1" formatCode="0"/>
  </numFmts>
  <fonts count="10">
    <font>
      <name val="Calibri"/>
      <sz val="11"/>
    </font>
    <font>
      <name val="Times New Roman"/>
      <b/>
      <sz val="14"/>
      <color rgb="FF000000"/>
    </font>
    <font>
      <name val="Times New Roman"/>
      <sz val="11"/>
      <color rgb="FF000000"/>
    </font>
    <font>
      <name val="Times New Roman"/>
      <b/>
      <sz val="11"/>
      <color rgb="FF000000"/>
    </font>
    <font>
      <name val="Times New Roman"/>
      <b/>
      <sz val="11"/>
      <color rgb="FFFFFFFF"/>
    </font>
    <font>
      <name val="Times New Roman"/>
      <b/>
      <sz val="12"/>
      <color rgb="FF000000"/>
    </font>
    <font>
      <name val="Arial"/>
      <sz val="11"/>
      <color rgb="FF000000"/>
    </font>
    <font>
      <name val="Arial"/>
      <sz val="11"/>
    </font>
    <font>
      <name val="Times New Roman"/>
      <sz val="11"/>
      <color rgb="FFFF0000"/>
    </font>
    <font>
      <name val="Calibri"/>
      <sz val="11"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none"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bottom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8" borderId="7" xfId="0" applyNumberFormat="1" applyFont="1" applyFill="1" applyBorder="1" applyAlignment="1">
      <alignment horizontal="left" vertical="center"/>
    </xf>
    <xf numFmtId="0" fontId="7" fillId="9" borderId="7" xfId="0" applyNumberFormat="1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center" vertical="center"/>
    </xf>
    <xf numFmtId="0" fontId="7" fillId="9" borderId="8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0" fontId="7" fillId="9" borderId="9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vertical="bottom"/>
    </xf>
    <xf numFmtId="0" fontId="9" fillId="0" borderId="1" xfId="0" applyBorder="1" applyAlignment="1">
      <alignment horizontal="center" vertical="center"/>
    </xf>
    <xf numFmtId="0" fontId="9" fillId="2" borderId="0" xfId="0" applyFill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10" xfId="0" applyFont="1" applyBorder="1" applyAlignment="1">
      <alignment vertical="bottom"/>
    </xf>
    <xf numFmtId="0" fontId="2" fillId="0" borderId="11" xfId="0" applyFont="1" applyBorder="1" applyAlignment="1">
      <alignment vertical="bottom"/>
    </xf>
    <xf numFmtId="0" fontId="9" fillId="0" borderId="1" xfId="0" applyBorder="1" applyAlignment="1">
      <alignment vertical="bottom"/>
    </xf>
    <xf numFmtId="0" fontId="2" fillId="0" borderId="12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51"/>
  <sheetViews>
    <sheetView tabSelected="1" workbookViewId="0" zoomScale="32">
      <selection activeCell="E21" sqref="E21"/>
    </sheetView>
  </sheetViews>
  <sheetFormatPr defaultRowHeight="14.4" defaultColWidth="10"/>
  <cols>
    <col min="2" max="2" customWidth="1" width="40.21875" style="0"/>
    <col min="8" max="8" customWidth="1" bestFit="1" width="9.21875" style="0"/>
    <col min="9" max="9" customWidth="1" width="14.0" style="0"/>
    <col min="10" max="10" customWidth="1" width="10.777344" style="0"/>
    <col min="11" max="11" customWidth="1" width="12.886719" style="0"/>
    <col min="12" max="12" customWidth="1" width="38.33203" style="0"/>
    <col min="19" max="19" customWidth="1" width="11.5546875" style="0"/>
    <col min="21" max="21" customWidth="1" width="28.332031" style="0"/>
  </cols>
  <sheetData>
    <row r="1" spans="8:8" ht="17.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</row>
    <row r="2" spans="8:8" ht="17.4">
      <c r="A2" s="1" t="s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"/>
    </row>
    <row r="3" spans="8: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8:8">
      <c r="A4" s="3" t="s">
        <v>0</v>
      </c>
      <c r="B4" s="2"/>
      <c r="C4" s="3" t="s">
        <v>58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8:8">
      <c r="A5" s="3" t="s">
        <v>1</v>
      </c>
      <c r="B5" s="2"/>
      <c r="C5" s="3" t="s">
        <v>29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8:8">
      <c r="A6" s="3" t="s">
        <v>14</v>
      </c>
      <c r="B6" s="2"/>
      <c r="C6" s="3" t="s">
        <v>30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8:8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8:8" ht="15.45" customHeight="1">
      <c r="A8" s="4" t="s">
        <v>2</v>
      </c>
      <c r="B8" s="5" t="s">
        <v>3</v>
      </c>
      <c r="C8" s="6" t="s">
        <v>24</v>
      </c>
      <c r="D8" s="6"/>
      <c r="E8" s="6"/>
      <c r="F8" s="7" t="s">
        <v>25</v>
      </c>
      <c r="G8" s="7"/>
      <c r="H8" s="7"/>
      <c r="I8" s="8" t="s">
        <v>8</v>
      </c>
      <c r="J8" s="9" t="s">
        <v>23</v>
      </c>
      <c r="K8" s="10"/>
      <c r="L8" s="11" t="s">
        <v>9</v>
      </c>
      <c r="N8" s="12" t="s">
        <v>15</v>
      </c>
    </row>
    <row r="9" spans="8:8" ht="14.55" customHeight="1">
      <c r="A9" s="4"/>
      <c r="B9" s="5"/>
      <c r="C9" s="13" t="s">
        <v>4</v>
      </c>
      <c r="D9" s="14" t="s">
        <v>5</v>
      </c>
      <c r="E9" s="13" t="s">
        <v>6</v>
      </c>
      <c r="F9" s="15" t="s">
        <v>4</v>
      </c>
      <c r="G9" s="15" t="s">
        <v>7</v>
      </c>
      <c r="H9" s="15" t="s">
        <v>6</v>
      </c>
      <c r="I9" s="8" t="s">
        <v>22</v>
      </c>
      <c r="J9" s="16" t="s">
        <v>26</v>
      </c>
      <c r="K9" s="16" t="s">
        <v>27</v>
      </c>
      <c r="L9" s="17"/>
      <c r="N9" s="3" t="s">
        <v>10</v>
      </c>
    </row>
    <row r="10" spans="8:8" ht="15.2">
      <c r="A10" s="18">
        <v>1.0</v>
      </c>
      <c r="B10" s="19" t="s">
        <v>59</v>
      </c>
      <c r="C10" s="20">
        <v>0.0</v>
      </c>
      <c r="D10" s="21">
        <v>50.0</v>
      </c>
      <c r="E10" s="22">
        <v>80.0</v>
      </c>
      <c r="F10" s="20">
        <v>85.0</v>
      </c>
      <c r="G10" s="20">
        <v>15.0</v>
      </c>
      <c r="H10" s="23">
        <v>0.0</v>
      </c>
      <c r="I10" s="24">
        <v>36.0</v>
      </c>
      <c r="J10" s="25">
        <f>AVERAGE(C10:E10)</f>
        <v>43.333333333333336</v>
      </c>
      <c r="K10" s="25">
        <f>AVERAGE(F10:H10)</f>
        <v>33.333333333333336</v>
      </c>
      <c r="L10" s="24">
        <f>(I10*30/100)+(J10*35/100)+(K10*35/100)</f>
        <v>37.6333333333334</v>
      </c>
      <c r="N10" s="3" t="s">
        <v>16</v>
      </c>
    </row>
    <row r="11" spans="8:8" ht="15.2">
      <c r="A11" s="18">
        <v>2.0</v>
      </c>
      <c r="B11" s="19" t="s">
        <v>60</v>
      </c>
      <c r="C11" s="20">
        <v>0.0</v>
      </c>
      <c r="D11" s="21">
        <v>50.5</v>
      </c>
      <c r="E11" s="22">
        <v>60.0</v>
      </c>
      <c r="F11" s="20">
        <v>55.0</v>
      </c>
      <c r="G11" s="26">
        <v>0.0</v>
      </c>
      <c r="H11" s="23">
        <v>0.0</v>
      </c>
      <c r="I11" s="24">
        <v>33.0</v>
      </c>
      <c r="J11" s="25">
        <f>AVERAGE(C11:E11)</f>
        <v>36.833333333333336</v>
      </c>
      <c r="K11" s="25">
        <f>AVERAGE(F11:H11)</f>
        <v>18.333333333333332</v>
      </c>
      <c r="L11" s="24">
        <f>(I11*30/100)+(J11*35/100)+(K11*35/100)</f>
        <v>29.20833333333337</v>
      </c>
      <c r="N11" s="3" t="s">
        <v>18</v>
      </c>
    </row>
    <row r="12" spans="8:8" ht="15.2">
      <c r="A12" s="18">
        <v>3.0</v>
      </c>
      <c r="B12" s="19" t="s">
        <v>61</v>
      </c>
      <c r="C12" s="20">
        <v>87.5</v>
      </c>
      <c r="D12" s="21">
        <v>81.57142857142857</v>
      </c>
      <c r="E12" s="22">
        <v>80.0</v>
      </c>
      <c r="F12" s="20">
        <v>80.0</v>
      </c>
      <c r="G12" s="20">
        <v>90.0</v>
      </c>
      <c r="H12" s="27">
        <v>95.0</v>
      </c>
      <c r="I12" s="24">
        <v>70.0</v>
      </c>
      <c r="J12" s="25">
        <f>AVERAGE(C12:E12)</f>
        <v>83.02380952380952</v>
      </c>
      <c r="K12" s="25">
        <f>AVERAGE(F12:H12)</f>
        <v>88.33333333333333</v>
      </c>
      <c r="L12" s="24">
        <f>(I12*30/100)+(J12*35/100)+(K12*35/100)</f>
        <v>80.975</v>
      </c>
      <c r="N12" s="3" t="s">
        <v>19</v>
      </c>
    </row>
    <row r="13" spans="8:8" ht="15.2">
      <c r="A13" s="18">
        <v>4.0</v>
      </c>
      <c r="B13" s="19" t="s">
        <v>62</v>
      </c>
      <c r="C13" s="20">
        <v>45.0</v>
      </c>
      <c r="D13" s="21">
        <v>85.0</v>
      </c>
      <c r="E13" s="28">
        <v>0.0</v>
      </c>
      <c r="F13" s="20">
        <v>75.0</v>
      </c>
      <c r="G13" s="20">
        <v>70.0</v>
      </c>
      <c r="H13" s="27">
        <v>75.0</v>
      </c>
      <c r="I13" s="24">
        <v>66.0</v>
      </c>
      <c r="J13" s="25">
        <f>AVERAGE(C13:E13)</f>
        <v>43.333333333333336</v>
      </c>
      <c r="K13" s="25">
        <f>AVERAGE(F13:H13)</f>
        <v>73.33333333333333</v>
      </c>
      <c r="L13" s="24">
        <f>(I13*30/100)+(J13*35/100)+(K13*35/100)</f>
        <v>60.6333333333334</v>
      </c>
      <c r="N13" s="3" t="s">
        <v>20</v>
      </c>
    </row>
    <row r="14" spans="8:8" ht="15.2">
      <c r="A14" s="18">
        <v>5.0</v>
      </c>
      <c r="B14" s="19" t="s">
        <v>63</v>
      </c>
      <c r="C14" s="20">
        <v>85.0</v>
      </c>
      <c r="D14" s="21">
        <v>49.0</v>
      </c>
      <c r="E14" s="22">
        <v>80.0</v>
      </c>
      <c r="F14" s="20">
        <v>55.0</v>
      </c>
      <c r="G14" s="26">
        <v>0.0</v>
      </c>
      <c r="H14" s="27">
        <v>70.0</v>
      </c>
      <c r="I14" s="24">
        <v>65.0</v>
      </c>
      <c r="J14" s="25">
        <f>AVERAGE(C14:E14)</f>
        <v>71.33333333333333</v>
      </c>
      <c r="K14" s="25">
        <f>AVERAGE(F14:H14)</f>
        <v>41.666666666666664</v>
      </c>
      <c r="L14" s="24">
        <f>(I14*30/100)+(J14*35/100)+(K14*35/100)</f>
        <v>59.05</v>
      </c>
      <c r="N14" s="3" t="s">
        <v>11</v>
      </c>
    </row>
    <row r="15" spans="8:8" ht="21.3">
      <c r="A15" s="18">
        <v>6.0</v>
      </c>
      <c r="B15" s="19" t="s">
        <v>64</v>
      </c>
      <c r="C15" s="20">
        <v>85.0</v>
      </c>
      <c r="D15" s="21">
        <v>81.66666666666667</v>
      </c>
      <c r="E15" s="22">
        <v>80.0</v>
      </c>
      <c r="F15" s="20">
        <v>100.0</v>
      </c>
      <c r="G15" s="20">
        <v>90.0</v>
      </c>
      <c r="H15" s="27">
        <v>100.0</v>
      </c>
      <c r="I15" s="24">
        <v>93.0</v>
      </c>
      <c r="J15" s="25">
        <f>AVERAGE(C15:E15)</f>
        <v>82.22222222222223</v>
      </c>
      <c r="K15" s="25">
        <f>AVERAGE(F15:H15)</f>
        <v>96.66666666666667</v>
      </c>
      <c r="L15" s="24">
        <f>(I15*30/100)+(J15*35/100)+(K15*35/100)</f>
        <v>90.51111111111109</v>
      </c>
      <c r="N15" s="29"/>
    </row>
    <row r="16" spans="8:8" ht="21.3">
      <c r="A16" s="18">
        <v>7.0</v>
      </c>
      <c r="B16" s="19" t="s">
        <v>65</v>
      </c>
      <c r="C16" s="20">
        <v>80.0</v>
      </c>
      <c r="D16" s="21">
        <v>55.0</v>
      </c>
      <c r="E16" s="22">
        <v>60.0</v>
      </c>
      <c r="F16" s="26">
        <v>0.0</v>
      </c>
      <c r="G16" s="26">
        <v>0.0</v>
      </c>
      <c r="H16" s="23">
        <v>0.0</v>
      </c>
      <c r="I16" s="24">
        <v>27.0</v>
      </c>
      <c r="J16" s="25">
        <f>AVERAGE(C16:E16)</f>
        <v>65.0</v>
      </c>
      <c r="K16" s="25">
        <f>AVERAGE(F16:H16)</f>
        <v>0.0</v>
      </c>
      <c r="L16" s="24">
        <f>(I16*30/100)+(J16*35/100)+(K16*35/100)</f>
        <v>30.85</v>
      </c>
      <c r="N16" s="29"/>
    </row>
    <row r="17" spans="8:8" ht="21.3">
      <c r="A17" s="18">
        <v>8.0</v>
      </c>
      <c r="B17" s="19" t="s">
        <v>66</v>
      </c>
      <c r="C17" s="20">
        <v>0.0</v>
      </c>
      <c r="D17" s="21">
        <v>7.0</v>
      </c>
      <c r="E17" s="28">
        <v>0.0</v>
      </c>
      <c r="F17" s="20">
        <v>85.0</v>
      </c>
      <c r="G17" s="26">
        <v>0.0</v>
      </c>
      <c r="H17" s="23">
        <v>0.0</v>
      </c>
      <c r="I17" s="24">
        <v>8.0</v>
      </c>
      <c r="J17" s="25">
        <f>AVERAGE(C17:E17)</f>
        <v>2.3333333333333335</v>
      </c>
      <c r="K17" s="25">
        <f>AVERAGE(F17:H17)</f>
        <v>28.333333333333332</v>
      </c>
      <c r="L17" s="24">
        <f>(I17*30/100)+(J17*35/100)+(K17*35/100)</f>
        <v>13.13333333333334</v>
      </c>
      <c r="N17" s="29"/>
    </row>
    <row r="18" spans="8:8" ht="21.3">
      <c r="A18" s="18">
        <v>9.0</v>
      </c>
      <c r="B18" s="19" t="s">
        <v>67</v>
      </c>
      <c r="C18" s="20">
        <v>62.5</v>
      </c>
      <c r="D18" s="21">
        <v>67.16666666666667</v>
      </c>
      <c r="E18" s="22">
        <v>70.0</v>
      </c>
      <c r="F18" s="20">
        <v>90.0</v>
      </c>
      <c r="G18" s="20">
        <v>30.0</v>
      </c>
      <c r="H18" s="27">
        <v>80.0</v>
      </c>
      <c r="I18" s="24">
        <v>42.0</v>
      </c>
      <c r="J18" s="25">
        <f>AVERAGE(C18:E18)</f>
        <v>66.55555555555556</v>
      </c>
      <c r="K18" s="25">
        <f>AVERAGE(F18:H18)</f>
        <v>66.66666666666667</v>
      </c>
      <c r="L18" s="24">
        <f>(I18*30/100)+(J18*35/100)+(K18*35/100)</f>
        <v>59.2277777777777</v>
      </c>
      <c r="N18" s="29"/>
    </row>
    <row r="19" spans="8:8" ht="21.3">
      <c r="A19" s="18">
        <v>10.0</v>
      </c>
      <c r="B19" s="19" t="s">
        <v>68</v>
      </c>
      <c r="C19" s="20">
        <v>87.5</v>
      </c>
      <c r="D19" s="21">
        <v>73.83333333333333</v>
      </c>
      <c r="E19" s="22">
        <v>65.0</v>
      </c>
      <c r="F19" s="20">
        <v>80.0</v>
      </c>
      <c r="G19" s="20">
        <v>55.0</v>
      </c>
      <c r="H19" s="27">
        <v>95.0</v>
      </c>
      <c r="I19" s="24">
        <v>59.0</v>
      </c>
      <c r="J19" s="25">
        <f>AVERAGE(C19:E19)</f>
        <v>75.44444444444444</v>
      </c>
      <c r="K19" s="25">
        <f>AVERAGE(F19:H19)</f>
        <v>76.66666666666667</v>
      </c>
      <c r="L19" s="24">
        <f>(I19*30/100)+(J19*35/100)+(K19*35/100)</f>
        <v>70.9388888888889</v>
      </c>
      <c r="N19" s="29"/>
    </row>
    <row r="20" spans="8:8" ht="21.3">
      <c r="A20" s="18">
        <v>11.0</v>
      </c>
      <c r="B20" s="19" t="s">
        <v>69</v>
      </c>
      <c r="C20" s="20">
        <v>0.0</v>
      </c>
      <c r="D20" s="21">
        <v>54.8</v>
      </c>
      <c r="E20" s="22">
        <v>35.0</v>
      </c>
      <c r="F20" s="26">
        <v>0.0</v>
      </c>
      <c r="G20" s="26">
        <v>0.0</v>
      </c>
      <c r="H20" s="27">
        <v>90.0</v>
      </c>
      <c r="I20" s="24">
        <v>28.0</v>
      </c>
      <c r="J20" s="25">
        <f>AVERAGE(C20:E20)</f>
        <v>29.933333333333334</v>
      </c>
      <c r="K20" s="25">
        <f>AVERAGE(F20:H20)</f>
        <v>30.0</v>
      </c>
      <c r="L20" s="24">
        <f>(I20*30/100)+(J20*35/100)+(K20*35/100)</f>
        <v>29.3766666666667</v>
      </c>
      <c r="N20" s="29"/>
    </row>
    <row r="21" spans="8:8" ht="21.3">
      <c r="A21" s="18">
        <v>12.0</v>
      </c>
      <c r="B21" s="19" t="s">
        <v>70</v>
      </c>
      <c r="C21" s="20">
        <v>67.5</v>
      </c>
      <c r="D21" s="21">
        <v>55.0</v>
      </c>
      <c r="E21" s="22">
        <v>65.0</v>
      </c>
      <c r="F21" s="20">
        <v>85.0</v>
      </c>
      <c r="G21" s="20">
        <v>85.0</v>
      </c>
      <c r="H21" s="27">
        <v>85.0</v>
      </c>
      <c r="I21" s="24">
        <v>71.0</v>
      </c>
      <c r="J21" s="25">
        <f>AVERAGE(C21:E21)</f>
        <v>62.5</v>
      </c>
      <c r="K21" s="25">
        <f>AVERAGE(F21:H21)</f>
        <v>85.0</v>
      </c>
      <c r="L21" s="24">
        <f>(I21*30/100)+(J21*35/100)+(K21*35/100)</f>
        <v>72.925</v>
      </c>
      <c r="N21" s="29"/>
    </row>
    <row r="22" spans="8:8" ht="21.3">
      <c r="A22" s="18">
        <v>13.0</v>
      </c>
      <c r="B22" s="19" t="s">
        <v>71</v>
      </c>
      <c r="C22" s="20">
        <v>100.0</v>
      </c>
      <c r="D22" s="21">
        <v>83.0</v>
      </c>
      <c r="E22" s="22">
        <v>70.0</v>
      </c>
      <c r="F22" s="20">
        <v>65.0</v>
      </c>
      <c r="G22" s="20">
        <v>85.0</v>
      </c>
      <c r="H22" s="27">
        <v>90.0</v>
      </c>
      <c r="I22" s="24">
        <v>72.0</v>
      </c>
      <c r="J22" s="25">
        <f>AVERAGE(C22:E22)</f>
        <v>84.33333333333333</v>
      </c>
      <c r="K22" s="25">
        <f>AVERAGE(F22:H22)</f>
        <v>80.0</v>
      </c>
      <c r="L22" s="24">
        <f>(I22*30/100)+(J22*35/100)+(K22*35/100)</f>
        <v>79.1166666666667</v>
      </c>
      <c r="N22" s="29"/>
    </row>
    <row r="23" spans="8:8" ht="21.3">
      <c r="A23" s="18">
        <v>14.0</v>
      </c>
      <c r="B23" s="19" t="s">
        <v>72</v>
      </c>
      <c r="C23" s="20">
        <v>85.0</v>
      </c>
      <c r="D23" s="21">
        <v>60.333333333333336</v>
      </c>
      <c r="E23" s="28">
        <v>0.0</v>
      </c>
      <c r="F23" s="20">
        <v>85.0</v>
      </c>
      <c r="G23" s="20">
        <v>65.0</v>
      </c>
      <c r="H23" s="23">
        <v>0.0</v>
      </c>
      <c r="I23" s="24">
        <v>44.0</v>
      </c>
      <c r="J23" s="25">
        <f>AVERAGE(C23:E23)</f>
        <v>48.44444444444445</v>
      </c>
      <c r="K23" s="25">
        <f>AVERAGE(F23:H23)</f>
        <v>50.0</v>
      </c>
      <c r="L23" s="24">
        <f>(I23*30/100)+(J23*35/100)+(K23*35/100)</f>
        <v>47.6555555555556</v>
      </c>
      <c r="N23" s="29"/>
    </row>
    <row r="24" spans="8:8" ht="21.3">
      <c r="A24" s="18">
        <v>15.0</v>
      </c>
      <c r="B24" s="19" t="s">
        <v>73</v>
      </c>
      <c r="C24" s="20">
        <v>90.0</v>
      </c>
      <c r="D24" s="21">
        <v>87.14285714285714</v>
      </c>
      <c r="E24" s="22">
        <v>85.0</v>
      </c>
      <c r="F24" s="20">
        <v>80.0</v>
      </c>
      <c r="G24" s="20">
        <v>90.0</v>
      </c>
      <c r="H24" s="27">
        <v>90.0</v>
      </c>
      <c r="I24" s="24">
        <v>77.0</v>
      </c>
      <c r="J24" s="25">
        <f>AVERAGE(C24:E24)</f>
        <v>87.38095238095237</v>
      </c>
      <c r="K24" s="25">
        <f>AVERAGE(F24:H24)</f>
        <v>86.66666666666667</v>
      </c>
      <c r="L24" s="24">
        <f>(I24*30/100)+(J24*35/100)+(K24*35/100)</f>
        <v>84.0166666666666</v>
      </c>
      <c r="N24" s="29"/>
    </row>
    <row r="25" spans="8:8" ht="21.3">
      <c r="A25" s="18">
        <v>16.0</v>
      </c>
      <c r="B25" s="19" t="s">
        <v>74</v>
      </c>
      <c r="C25" s="20">
        <v>87.5</v>
      </c>
      <c r="D25" s="21">
        <v>72.5</v>
      </c>
      <c r="E25" s="22">
        <v>45.0</v>
      </c>
      <c r="F25" s="20">
        <v>75.0</v>
      </c>
      <c r="G25" s="20">
        <v>80.0</v>
      </c>
      <c r="H25" s="27">
        <v>90.0</v>
      </c>
      <c r="I25" s="24">
        <v>78.0</v>
      </c>
      <c r="J25" s="25">
        <f>AVERAGE(C25:E25)</f>
        <v>68.33333333333333</v>
      </c>
      <c r="K25" s="25">
        <f>AVERAGE(F25:H25)</f>
        <v>81.66666666666667</v>
      </c>
      <c r="L25" s="24">
        <f>(I25*30/100)+(J25*35/100)+(K25*35/100)</f>
        <v>75.9</v>
      </c>
      <c r="N25" s="29"/>
    </row>
    <row r="26" spans="8:8" ht="21.3">
      <c r="A26" s="18">
        <v>17.0</v>
      </c>
      <c r="B26" s="19" t="s">
        <v>75</v>
      </c>
      <c r="C26" s="20">
        <v>90.0</v>
      </c>
      <c r="D26" s="21">
        <v>90.0</v>
      </c>
      <c r="E26" s="22">
        <v>85.0</v>
      </c>
      <c r="F26" s="20">
        <v>65.0</v>
      </c>
      <c r="G26" s="20">
        <v>85.0</v>
      </c>
      <c r="H26" s="27">
        <v>90.0</v>
      </c>
      <c r="I26" s="24">
        <v>47.0</v>
      </c>
      <c r="J26" s="25">
        <f>AVERAGE(C26:E26)</f>
        <v>88.33333333333333</v>
      </c>
      <c r="K26" s="25">
        <f>AVERAGE(F26:H26)</f>
        <v>80.0</v>
      </c>
      <c r="L26" s="24">
        <f>(I26*30/100)+(J26*35/100)+(K26*35/100)</f>
        <v>73.01666666666671</v>
      </c>
      <c r="N26" s="29"/>
    </row>
    <row r="27" spans="8:8" ht="21.3">
      <c r="A27" s="18">
        <v>18.0</v>
      </c>
      <c r="B27" s="19" t="s">
        <v>76</v>
      </c>
      <c r="C27" s="20">
        <v>80.0</v>
      </c>
      <c r="D27" s="21">
        <v>81.75</v>
      </c>
      <c r="E27" s="22">
        <v>70.0</v>
      </c>
      <c r="F27" s="26">
        <v>0.0</v>
      </c>
      <c r="G27" s="26">
        <v>0.0</v>
      </c>
      <c r="H27" s="23">
        <v>0.0</v>
      </c>
      <c r="I27" s="24">
        <v>32.0</v>
      </c>
      <c r="J27" s="25">
        <f>AVERAGE(C27:E27)</f>
        <v>77.25</v>
      </c>
      <c r="K27" s="25">
        <f>AVERAGE(F27:H27)</f>
        <v>0.0</v>
      </c>
      <c r="L27" s="24">
        <f>(I27*30/100)+(J27*35/100)+(K27*35/100)</f>
        <v>36.6375</v>
      </c>
      <c r="N27" s="29"/>
    </row>
    <row r="28" spans="8:8" ht="21.3">
      <c r="A28" s="18">
        <v>19.0</v>
      </c>
      <c r="B28" s="19" t="s">
        <v>77</v>
      </c>
      <c r="C28" s="20">
        <v>90.0</v>
      </c>
      <c r="D28" s="21">
        <v>69.5</v>
      </c>
      <c r="E28" s="22">
        <v>80.0</v>
      </c>
      <c r="F28" s="20">
        <v>75.0</v>
      </c>
      <c r="G28" s="20">
        <v>75.0</v>
      </c>
      <c r="H28" s="27">
        <v>85.0</v>
      </c>
      <c r="I28" s="24">
        <v>69.0</v>
      </c>
      <c r="J28" s="25">
        <f>AVERAGE(C28:E28)</f>
        <v>79.83333333333333</v>
      </c>
      <c r="K28" s="25">
        <f>AVERAGE(F28:H28)</f>
        <v>78.33333333333333</v>
      </c>
      <c r="L28" s="24">
        <f>(I28*30/100)+(J28*35/100)+(K28*35/100)</f>
        <v>76.0583333333334</v>
      </c>
      <c r="N28" s="29"/>
    </row>
    <row r="29" spans="8:8" ht="21.3">
      <c r="A29" s="18">
        <v>20.0</v>
      </c>
      <c r="B29" s="19" t="s">
        <v>78</v>
      </c>
      <c r="C29" s="20">
        <v>90.0</v>
      </c>
      <c r="D29" s="21">
        <v>91.57142857142857</v>
      </c>
      <c r="E29" s="22">
        <v>80.0</v>
      </c>
      <c r="F29" s="20">
        <v>95.0</v>
      </c>
      <c r="G29" s="20">
        <v>90.0</v>
      </c>
      <c r="H29" s="27">
        <v>100.0</v>
      </c>
      <c r="I29" s="24">
        <v>97.0</v>
      </c>
      <c r="J29" s="25">
        <f>AVERAGE(C29:E29)</f>
        <v>87.19047619047619</v>
      </c>
      <c r="K29" s="25">
        <f>AVERAGE(F29:H29)</f>
        <v>95.0</v>
      </c>
      <c r="L29" s="24">
        <f>(I29*30/100)+(J29*35/100)+(K29*35/100)</f>
        <v>92.8666666666667</v>
      </c>
      <c r="N29" s="29"/>
    </row>
    <row r="30" spans="8:8" ht="21.3">
      <c r="A30" s="18">
        <v>21.0</v>
      </c>
      <c r="B30" s="19" t="s">
        <v>79</v>
      </c>
      <c r="C30" s="20">
        <v>100.0</v>
      </c>
      <c r="D30" s="21">
        <v>84.71428571428571</v>
      </c>
      <c r="E30" s="22">
        <v>70.0</v>
      </c>
      <c r="F30" s="20">
        <v>95.0</v>
      </c>
      <c r="G30" s="20">
        <v>90.0</v>
      </c>
      <c r="H30" s="27">
        <v>90.0</v>
      </c>
      <c r="I30" s="24">
        <v>66.0</v>
      </c>
      <c r="J30" s="25">
        <f>AVERAGE(C30:E30)</f>
        <v>84.90476190476191</v>
      </c>
      <c r="K30" s="25">
        <f>AVERAGE(F30:H30)</f>
        <v>91.66666666666667</v>
      </c>
      <c r="L30" s="24">
        <f>(I30*30/100)+(J30*35/100)+(K30*35/100)</f>
        <v>81.6</v>
      </c>
      <c r="N30" s="29"/>
    </row>
    <row r="31" spans="8:8" ht="21.3">
      <c r="A31" s="18">
        <v>22.0</v>
      </c>
      <c r="B31" s="19" t="s">
        <v>80</v>
      </c>
      <c r="C31" s="20">
        <v>90.0</v>
      </c>
      <c r="D31" s="21">
        <v>77.66666666666667</v>
      </c>
      <c r="E31" s="22">
        <v>75.0</v>
      </c>
      <c r="F31" s="20">
        <v>55.0</v>
      </c>
      <c r="G31" s="26">
        <v>0.0</v>
      </c>
      <c r="H31" s="27">
        <v>80.0</v>
      </c>
      <c r="I31" s="24">
        <v>49.0</v>
      </c>
      <c r="J31" s="25">
        <f>AVERAGE(C31:E31)</f>
        <v>80.8888888888889</v>
      </c>
      <c r="K31" s="25">
        <f>AVERAGE(F31:H31)</f>
        <v>45.0</v>
      </c>
      <c r="L31" s="24">
        <f>(I31*30/100)+(J31*35/100)+(K31*35/100)</f>
        <v>58.7611111111111</v>
      </c>
      <c r="N31" s="29"/>
    </row>
    <row r="32" spans="8:8" ht="21.3">
      <c r="A32" s="18">
        <v>23.0</v>
      </c>
      <c r="B32" s="19" t="s">
        <v>81</v>
      </c>
      <c r="C32" s="20">
        <v>60.0</v>
      </c>
      <c r="D32" s="21">
        <v>67.5</v>
      </c>
      <c r="E32" s="22">
        <v>55.0</v>
      </c>
      <c r="F32" s="20">
        <v>65.0</v>
      </c>
      <c r="G32" s="20">
        <v>60.0</v>
      </c>
      <c r="H32" s="23">
        <v>0.0</v>
      </c>
      <c r="I32" s="24">
        <v>49.0</v>
      </c>
      <c r="J32" s="25">
        <f>AVERAGE(C32:E32)</f>
        <v>60.833333333333336</v>
      </c>
      <c r="K32" s="25">
        <f>AVERAGE(F32:H32)</f>
        <v>41.666666666666664</v>
      </c>
      <c r="L32" s="24">
        <f>(I32*30/100)+(J32*35/100)+(K32*35/100)</f>
        <v>50.575</v>
      </c>
      <c r="N32" s="29"/>
    </row>
    <row r="33" spans="8:8" ht="21.3">
      <c r="A33" s="18">
        <v>24.0</v>
      </c>
      <c r="B33" s="19" t="s">
        <v>82</v>
      </c>
      <c r="C33" s="20">
        <v>0.0</v>
      </c>
      <c r="D33" s="21">
        <v>64.4</v>
      </c>
      <c r="E33" s="22">
        <v>85.0</v>
      </c>
      <c r="F33" s="20">
        <v>90.0</v>
      </c>
      <c r="G33" s="20">
        <v>20.0</v>
      </c>
      <c r="H33" s="27">
        <v>100.0</v>
      </c>
      <c r="I33" s="24">
        <v>60.0</v>
      </c>
      <c r="J33" s="25">
        <f>AVERAGE(C33:E33)</f>
        <v>49.800000000000004</v>
      </c>
      <c r="K33" s="25">
        <f>AVERAGE(F33:H33)</f>
        <v>70.0</v>
      </c>
      <c r="L33" s="24">
        <f>(I33*30/100)+(J33*35/100)+(K33*35/100)</f>
        <v>59.93</v>
      </c>
      <c r="N33" s="29"/>
    </row>
    <row r="34" spans="8:8" ht="21.3">
      <c r="A34" s="18">
        <v>25.0</v>
      </c>
      <c r="B34" s="19" t="s">
        <v>83</v>
      </c>
      <c r="C34" s="20">
        <v>65.0</v>
      </c>
      <c r="D34" s="21">
        <v>76.5</v>
      </c>
      <c r="E34" s="22">
        <v>90.0</v>
      </c>
      <c r="F34" s="20">
        <v>85.0</v>
      </c>
      <c r="G34" s="20">
        <v>85.0</v>
      </c>
      <c r="H34" s="27">
        <v>95.0</v>
      </c>
      <c r="I34" s="24">
        <v>49.0</v>
      </c>
      <c r="J34" s="25">
        <f>AVERAGE(C34:E34)</f>
        <v>77.16666666666667</v>
      </c>
      <c r="K34" s="25">
        <f>AVERAGE(F34:H34)</f>
        <v>88.33333333333333</v>
      </c>
      <c r="L34" s="24">
        <f>(I34*30/100)+(J34*35/100)+(K34*35/100)</f>
        <v>72.625</v>
      </c>
      <c r="N34" s="29"/>
    </row>
    <row r="35" spans="8:8" ht="21.3">
      <c r="A35" s="18">
        <v>26.0</v>
      </c>
      <c r="B35" s="19" t="s">
        <v>84</v>
      </c>
      <c r="C35" s="20">
        <v>90.0</v>
      </c>
      <c r="D35" s="21">
        <v>80.0</v>
      </c>
      <c r="E35" s="22">
        <v>70.0</v>
      </c>
      <c r="F35" s="20">
        <v>85.0</v>
      </c>
      <c r="G35" s="20">
        <v>70.0</v>
      </c>
      <c r="H35" s="27">
        <v>90.0</v>
      </c>
      <c r="I35" s="24">
        <v>41.0</v>
      </c>
      <c r="J35" s="25">
        <f>AVERAGE(C35:E35)</f>
        <v>80.0</v>
      </c>
      <c r="K35" s="25">
        <f>AVERAGE(F35:H35)</f>
        <v>81.66666666666667</v>
      </c>
      <c r="L35" s="24">
        <f>(I35*30/100)+(J35*35/100)+(K35*35/100)</f>
        <v>68.8833333333333</v>
      </c>
      <c r="N35" s="29"/>
    </row>
    <row r="36" spans="8:8" ht="21.3">
      <c r="A36" s="18">
        <v>27.0</v>
      </c>
      <c r="B36" s="19" t="s">
        <v>85</v>
      </c>
      <c r="C36" s="20">
        <v>100.0</v>
      </c>
      <c r="D36" s="21">
        <v>93.71428571428571</v>
      </c>
      <c r="E36" s="22">
        <v>95.0</v>
      </c>
      <c r="F36" s="20">
        <v>95.0</v>
      </c>
      <c r="G36" s="20">
        <v>90.0</v>
      </c>
      <c r="H36" s="27">
        <v>100.0</v>
      </c>
      <c r="I36" s="24">
        <v>88.0</v>
      </c>
      <c r="J36" s="25">
        <f>AVERAGE(C36:E36)</f>
        <v>96.23809523809524</v>
      </c>
      <c r="K36" s="25">
        <f>AVERAGE(F36:H36)</f>
        <v>95.0</v>
      </c>
      <c r="L36" s="24">
        <f>(I36*30/100)+(J36*35/100)+(K36*35/100)</f>
        <v>93.3333333333333</v>
      </c>
      <c r="N36" s="29"/>
    </row>
    <row r="37" spans="8:8" ht="21.3">
      <c r="A37" s="18">
        <v>28.0</v>
      </c>
      <c r="B37" s="19" t="s">
        <v>86</v>
      </c>
      <c r="C37" s="20">
        <v>40.0</v>
      </c>
      <c r="D37" s="21">
        <v>71.5</v>
      </c>
      <c r="E37" s="22">
        <v>80.0</v>
      </c>
      <c r="F37" s="20">
        <v>80.0</v>
      </c>
      <c r="G37" s="20">
        <v>80.0</v>
      </c>
      <c r="H37" s="27">
        <v>95.0</v>
      </c>
      <c r="I37" s="24">
        <v>59.0</v>
      </c>
      <c r="J37" s="25">
        <f>AVERAGE(C37:E37)</f>
        <v>63.833333333333336</v>
      </c>
      <c r="K37" s="25">
        <f>AVERAGE(F37:H37)</f>
        <v>85.0</v>
      </c>
      <c r="L37" s="24">
        <f>(I37*30/100)+(J37*35/100)+(K37*35/100)</f>
        <v>69.7916666666667</v>
      </c>
      <c r="N37" s="29"/>
    </row>
    <row r="38" spans="8:8" ht="21.3">
      <c r="A38" s="18">
        <v>29.0</v>
      </c>
      <c r="B38" s="19" t="s">
        <v>87</v>
      </c>
      <c r="C38" s="20">
        <v>90.0</v>
      </c>
      <c r="D38" s="21">
        <v>71.66666666666667</v>
      </c>
      <c r="E38" s="22">
        <v>70.0</v>
      </c>
      <c r="F38" s="26">
        <v>0.0</v>
      </c>
      <c r="G38" s="26">
        <v>0.0</v>
      </c>
      <c r="H38" s="23">
        <v>0.0</v>
      </c>
      <c r="I38" s="18">
        <v>71.0</v>
      </c>
      <c r="J38" s="25">
        <f>AVERAGE(C38:E38)</f>
        <v>77.22222222222223</v>
      </c>
      <c r="K38" s="25">
        <f>AVERAGE(F38:H38)</f>
        <v>0.0</v>
      </c>
      <c r="L38" s="24">
        <f>(I38*30/100)+(J38*35/100)+(K38*35/100)</f>
        <v>48.3277777777778</v>
      </c>
      <c r="N38" s="29"/>
    </row>
    <row r="39" spans="8:8" ht="21.3">
      <c r="A39" s="18">
        <v>30.0</v>
      </c>
      <c r="B39" s="19" t="s">
        <v>88</v>
      </c>
      <c r="C39" s="20">
        <v>85.0</v>
      </c>
      <c r="D39" s="21">
        <v>55.0</v>
      </c>
      <c r="E39" s="22">
        <v>25.0</v>
      </c>
      <c r="F39" s="20">
        <v>65.0</v>
      </c>
      <c r="G39" s="20">
        <v>25.0</v>
      </c>
      <c r="H39" s="27">
        <v>35.0</v>
      </c>
      <c r="I39" s="30">
        <v>37.0</v>
      </c>
      <c r="J39" s="25">
        <f>AVERAGE(C39:E39)</f>
        <v>55.0</v>
      </c>
      <c r="K39" s="25">
        <f>AVERAGE(F39:H39)</f>
        <v>41.666666666666664</v>
      </c>
      <c r="L39" s="24">
        <f>(I39*30/100)+(J39*35/100)+(K39*35/100)</f>
        <v>44.9333333333333</v>
      </c>
      <c r="M39" s="2"/>
      <c r="N39" s="2"/>
      <c r="T39" s="31"/>
      <c r="W39" s="31"/>
    </row>
    <row r="40" spans="8:8" ht="21.3">
      <c r="A40" s="18">
        <v>31.0</v>
      </c>
      <c r="B40" s="19" t="s">
        <v>89</v>
      </c>
      <c r="C40" s="20">
        <v>90.0</v>
      </c>
      <c r="D40" s="21">
        <v>86.71428571428571</v>
      </c>
      <c r="E40" s="22">
        <v>80.0</v>
      </c>
      <c r="F40" s="20">
        <v>85.0</v>
      </c>
      <c r="G40" s="20">
        <v>90.0</v>
      </c>
      <c r="H40" s="27">
        <v>100.0</v>
      </c>
      <c r="I40" s="30">
        <v>88.0</v>
      </c>
      <c r="J40" s="25">
        <f>AVERAGE(C40:E40)</f>
        <v>85.57142857142857</v>
      </c>
      <c r="K40" s="25">
        <f>AVERAGE(F40:H40)</f>
        <v>91.66666666666667</v>
      </c>
      <c r="L40" s="24">
        <f>(I40*30/100)+(J40*35/100)+(K40*35/100)</f>
        <v>88.43333333333331</v>
      </c>
      <c r="M40" s="2"/>
      <c r="N40" s="2"/>
    </row>
    <row r="41" spans="8:8" ht="15.65">
      <c r="A41" s="18">
        <v>32.0</v>
      </c>
      <c r="B41" s="32"/>
      <c r="C41" s="33"/>
      <c r="D41" s="32"/>
      <c r="E41" s="34"/>
      <c r="F41" s="32"/>
      <c r="G41" s="32"/>
      <c r="H41" s="32"/>
      <c r="I41" s="32"/>
      <c r="J41" s="35"/>
      <c r="K41" s="32"/>
      <c r="L41" s="24">
        <f>(I41*30/100)+(J41*35/100)+(K41*35/100)</f>
        <v>0.0</v>
      </c>
      <c r="M41" s="2"/>
      <c r="N41" s="2"/>
    </row>
    <row r="42" spans="8:8">
      <c r="A42" s="18">
        <v>33.0</v>
      </c>
      <c r="B42" s="32"/>
      <c r="C42" s="32"/>
      <c r="D42" s="36"/>
      <c r="E42" s="32"/>
      <c r="F42" s="32"/>
      <c r="G42" s="32"/>
      <c r="H42" s="32"/>
      <c r="I42" s="32"/>
      <c r="J42" s="35"/>
      <c r="K42" s="32"/>
      <c r="L42" s="24">
        <f>(I42*30/100)+(J42*35/100)+(K42*35/100)</f>
        <v>0.0</v>
      </c>
      <c r="M42" s="2"/>
      <c r="N42" s="2"/>
    </row>
    <row r="43" spans="8:8">
      <c r="A43" s="18">
        <v>34.0</v>
      </c>
      <c r="B43" s="32"/>
      <c r="C43" s="32"/>
      <c r="D43" s="32"/>
      <c r="E43" s="32"/>
      <c r="F43" s="32"/>
      <c r="G43" s="32"/>
      <c r="H43" s="32"/>
      <c r="I43" s="32"/>
      <c r="J43" s="35"/>
      <c r="K43" s="32"/>
      <c r="L43" s="24">
        <f>(I43*30/100)+(J43*35/100)+(K43*35/100)</f>
        <v>0.0</v>
      </c>
      <c r="M43" s="2"/>
      <c r="N43" s="2"/>
    </row>
    <row r="44" spans="8:8" ht="14.75">
      <c r="A44" s="18">
        <v>35.0</v>
      </c>
      <c r="B44" s="32"/>
      <c r="C44" s="24"/>
      <c r="D44" s="32"/>
      <c r="E44" s="32"/>
      <c r="F44" s="32"/>
      <c r="G44" s="32"/>
      <c r="H44" s="32"/>
      <c r="I44" s="32"/>
      <c r="J44" s="35"/>
      <c r="K44" s="32"/>
      <c r="L44" s="24">
        <f>(I44*30/100)+(J44*35/100)+(K44*35/100)</f>
        <v>0.0</v>
      </c>
      <c r="M44" s="2"/>
      <c r="N44" s="2"/>
    </row>
    <row r="45" spans="8:8">
      <c r="A45" s="2"/>
      <c r="B45" s="2"/>
      <c r="C45" s="2"/>
      <c r="D45" s="2"/>
      <c r="E45" s="2"/>
      <c r="F45" s="2"/>
      <c r="G45" s="2"/>
      <c r="H45" s="2"/>
      <c r="I45" s="2"/>
      <c r="K45" s="2"/>
      <c r="L45" s="2"/>
      <c r="M45" s="2"/>
      <c r="N45" s="2"/>
    </row>
    <row r="47" spans="8:8">
      <c r="J47" s="3" t="s">
        <v>21</v>
      </c>
    </row>
    <row r="48" spans="8:8">
      <c r="J48" s="3" t="s">
        <v>12</v>
      </c>
    </row>
    <row r="49" spans="8:8">
      <c r="J49" s="3"/>
    </row>
    <row r="50" spans="8:8">
      <c r="J50" s="3"/>
    </row>
    <row r="51" spans="8:8">
      <c r="J51" s="3" t="s">
        <v>28</v>
      </c>
    </row>
  </sheetData>
  <mergeCells count="7">
    <mergeCell ref="A1:L1"/>
    <mergeCell ref="A2:L2"/>
    <mergeCell ref="J8:K8"/>
    <mergeCell ref="A8:A9"/>
    <mergeCell ref="B8:B9"/>
    <mergeCell ref="C8:E8"/>
    <mergeCell ref="F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cp:lastModifiedBy>Digitalisasi</cp:lastModifiedBy>
  <dcterms:created xsi:type="dcterms:W3CDTF">2022-12-12T11:59:23Z</dcterms:created>
  <dcterms:modified xsi:type="dcterms:W3CDTF">2026-10-27T13:59:57Z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b2b983b095184913a96c9cad20651f2b</vt:lpwstr>
  </property>
</Properties>
</file>