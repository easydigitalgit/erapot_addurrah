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diatul Hasanah\Downloads\"/>
    </mc:Choice>
  </mc:AlternateContent>
  <xr:revisionPtr revIDLastSave="0" documentId="13_ncr:1_{28880CF0-5813-4234-BC6F-01B50DA9ED7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8 INTAN" sheetId="10" r:id="rId1"/>
    <sheet name="8 KYANITE" sheetId="11" r:id="rId2"/>
    <sheet name="8 SAFIR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2" l="1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10" i="12"/>
  <c r="P15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4" i="12"/>
  <c r="P13" i="12"/>
  <c r="P12" i="12"/>
  <c r="P11" i="12"/>
  <c r="P10" i="12"/>
  <c r="P11" i="11"/>
  <c r="P12" i="11"/>
  <c r="P13" i="11"/>
  <c r="P14" i="11"/>
  <c r="P15" i="11"/>
  <c r="P17" i="11"/>
  <c r="P18" i="11"/>
  <c r="P19" i="11"/>
  <c r="P20" i="11"/>
  <c r="P21" i="11"/>
  <c r="P22" i="11"/>
  <c r="P23" i="11"/>
  <c r="P24" i="11"/>
  <c r="P25" i="11"/>
  <c r="P26" i="11"/>
  <c r="P27" i="11"/>
  <c r="P29" i="11"/>
  <c r="P30" i="11"/>
  <c r="P31" i="11"/>
  <c r="P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10" i="11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P26" i="10" s="1"/>
  <c r="O27" i="10"/>
  <c r="O28" i="10"/>
  <c r="O29" i="10"/>
  <c r="O30" i="10"/>
  <c r="O31" i="10"/>
  <c r="O10" i="10"/>
  <c r="N11" i="10"/>
  <c r="N12" i="10"/>
  <c r="N13" i="10"/>
  <c r="P13" i="10" s="1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10" i="10"/>
  <c r="P11" i="10"/>
  <c r="P12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7" i="10"/>
  <c r="P28" i="10"/>
  <c r="P29" i="10"/>
  <c r="P30" i="10"/>
  <c r="P31" i="10"/>
  <c r="P28" i="11" l="1"/>
  <c r="P16" i="11"/>
  <c r="P10" i="10"/>
</calcChain>
</file>

<file path=xl/sharedStrings.xml><?xml version="1.0" encoding="utf-8"?>
<sst xmlns="http://schemas.openxmlformats.org/spreadsheetml/2006/main" count="180" uniqueCount="102">
  <si>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</si>
  <si>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</si>
  <si>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</si>
  <si>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</si>
  <si>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</si>
  <si>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</si>
  <si>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</si>
  <si>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</si>
  <si>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</si>
  <si>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</si>
  <si>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</si>
  <si>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</si>
  <si>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</si>
  <si>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</si>
  <si>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</si>
  <si>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</si>
  <si>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</si>
  <si>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</si>
  <si>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</si>
  <si>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</si>
  <si>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</si>
  <si>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</si>
  <si>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</si>
  <si>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</si>
  <si>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LM5</t>
  </si>
  <si>
    <t>FORMATIF / NH</t>
  </si>
  <si>
    <t>FORMATIF / UH</t>
  </si>
  <si>
    <t>NH</t>
  </si>
  <si>
    <t>UH</t>
  </si>
  <si>
    <t>: STS 1 GANJIL</t>
  </si>
  <si>
    <t>AFIFAH DHIA FADILLAH</t>
  </si>
  <si>
    <t>ALIFIA AJWA</t>
  </si>
  <si>
    <t>AURELIA MUTIARA RAMDANI</t>
  </si>
  <si>
    <t>AZIZAH ZAHRA SIREGAR</t>
  </si>
  <si>
    <t>AZURA FAIRUUZ BARDANI</t>
  </si>
  <si>
    <t>FATHINAH KINARA</t>
  </si>
  <si>
    <t>INAYA AZMI ATHIFA</t>
  </si>
  <si>
    <t>KEIKO MUTIARA ZAHRA</t>
  </si>
  <si>
    <t>KHANZA AYA DIYYA</t>
  </si>
  <si>
    <t>KHEYSA RASHIFA</t>
  </si>
  <si>
    <t>NAISYAH SALSABILA NUSI</t>
  </si>
  <si>
    <t>NAURA ZAKIYA SAKHI</t>
  </si>
  <si>
    <t>ORIN FARAH DINA</t>
  </si>
  <si>
    <t>QANITA AQILAH AL FARIZSIH</t>
  </si>
  <si>
    <t>RIZKA ALYA PUTRI</t>
  </si>
  <si>
    <t>SALSABIL SHAFA</t>
  </si>
  <si>
    <t>SHABRINA HALWA</t>
  </si>
  <si>
    <t>SITI NAFISAH RAY</t>
  </si>
  <si>
    <t>SUCI RAMADHANI</t>
  </si>
  <si>
    <t>SUHANA AICA ACSYAH HSB</t>
  </si>
  <si>
    <t>SYAQILLA AULIANI</t>
  </si>
  <si>
    <t>SYARFINA ANINDYA PUTRI</t>
  </si>
  <si>
    <t>AFIKA HARUMI</t>
  </si>
  <si>
    <t>AFIQAH AZZAHRA</t>
  </si>
  <si>
    <t>ALLYSHA PUTRI WIJAYA</t>
  </si>
  <si>
    <t>ASYIFA NAURAH FEIRUS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</si>
  <si>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</si>
  <si>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</si>
  <si>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</si>
  <si>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</si>
  <si>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</si>
  <si>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</si>
  <si>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</si>
  <si>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</si>
  <si>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</si>
  <si>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</si>
  <si>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</si>
  <si>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</si>
  <si>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</si>
  <si>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</si>
  <si>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</si>
  <si>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</si>
  <si>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AYLA SHAUFA AZZAHRO</t>
  </si>
  <si>
    <t>AQILA SAHARA</t>
  </si>
  <si>
    <t>AISYAH RABIUL AWALIYAH</t>
  </si>
  <si>
    <t>ALIFA NUR ZAHIRAH</t>
  </si>
  <si>
    <t>ALYA JAZILA ARANI</t>
  </si>
  <si>
    <t>AMELIA FENETA ZULHAM</t>
  </si>
  <si>
    <t>AQILA AZ ZAHWA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</si>
  <si>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</si>
  <si>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</si>
  <si>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</si>
  <si>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</si>
  <si>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</si>
  <si>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</si>
  <si>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</si>
  <si>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</si>
  <si>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</si>
  <si>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</si>
  <si>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</si>
  <si>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</si>
  <si>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</si>
  <si>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</si>
  <si>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</si>
  <si>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</si>
  <si>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AQILAH KHANZA RAMADHANI</t>
  </si>
  <si>
    <t>: HADIST</t>
  </si>
  <si>
    <t>Medan, 13 Oktober 2026</t>
  </si>
  <si>
    <t>Luthfia Chairunnisa, S.Pd</t>
  </si>
  <si>
    <t>: 8 INTAN</t>
  </si>
  <si>
    <t>: 8 KYANITE</t>
  </si>
  <si>
    <t>: 8 SAFIR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</si>
</sst>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</font>
    <font>
      <b/>
      <u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1" fillId="0" borderId="0"/>
    <xf numFmtId="0" fontId="1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4" fillId="8" borderId="1" xfId="3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13" fillId="3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8" borderId="1" xfId="3" applyFont="1" applyFill="1" applyBorder="1" applyAlignment="1">
      <alignment horizontal="left" vertical="top"/>
    </xf>
    <xf numFmtId="0" fontId="12" fillId="0" borderId="1" xfId="3" applyFont="1" applyBorder="1" applyAlignment="1">
      <alignment horizontal="left" vertical="top"/>
    </xf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opLeftCell="B14" zoomScale="80" zoomScaleNormal="80" workbookViewId="0">
      <selection activeCell="K21" sqref="K21"/>
    </sheetView>
  </sheetViews>
  <sheetFormatPr defaultRowHeight="14.5" x14ac:dyDescent="0.3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 x14ac:dyDescent="0.35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3"/>
      <c r="R1" s="3"/>
    </row>
    <row r="2" spans="1:18" ht="17.5" x14ac:dyDescent="0.35">
      <c r="A2" s="20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99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x14ac:dyDescent="0.35">
      <c r="A8" s="23" t="s">
        <v>2</v>
      </c>
      <c r="B8" s="24" t="s">
        <v>3</v>
      </c>
      <c r="C8" s="25" t="s">
        <v>25</v>
      </c>
      <c r="D8" s="25"/>
      <c r="E8" s="25"/>
      <c r="F8" s="25"/>
      <c r="G8" s="25"/>
      <c r="H8" s="26" t="s">
        <v>26</v>
      </c>
      <c r="I8" s="26"/>
      <c r="J8" s="26"/>
      <c r="K8" s="26"/>
      <c r="L8" s="26"/>
      <c r="M8" s="14" t="s">
        <v>9</v>
      </c>
      <c r="N8" s="21" t="s">
        <v>23</v>
      </c>
      <c r="O8" s="22"/>
      <c r="P8" s="10" t="s">
        <v>10</v>
      </c>
      <c r="R8" s="1" t="s">
        <v>16</v>
      </c>
    </row>
    <row r="9" spans="1:18" x14ac:dyDescent="0.35">
      <c r="A9" s="23"/>
      <c r="B9" s="24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 x14ac:dyDescent="0.35">
      <c r="A10" s="4">
        <v>1</v>
      </c>
      <c r="B10" s="15" t="s">
        <v>30</v>
      </c>
      <c r="C10" s="31">
        <v>90</v>
      </c>
      <c r="D10" s="31">
        <v>90</v>
      </c>
      <c r="E10" s="12"/>
      <c r="F10" s="28"/>
      <c r="G10" s="28"/>
      <c r="H10" s="31">
        <v>86</v>
      </c>
      <c r="I10" s="31">
        <v>90</v>
      </c>
      <c r="J10" s="13"/>
      <c r="K10" s="13"/>
      <c r="L10" s="13"/>
      <c r="M10" s="27">
        <v>98</v>
      </c>
      <c r="N10" s="27">
        <f>AVERAGE(C10:D10)</f>
        <v>90</v>
      </c>
      <c r="O10" s="27">
        <f>AVERAGE(H10:I10)</f>
        <v>88</v>
      </c>
      <c r="P10" s="6">
        <f>AVERAGE(M10:O10)</f>
        <v>92</v>
      </c>
      <c r="R10" s="2" t="s">
        <v>17</v>
      </c>
    </row>
    <row r="11" spans="1:18" x14ac:dyDescent="0.35">
      <c r="A11" s="4">
        <v>2</v>
      </c>
      <c r="B11" s="15" t="s">
        <v>31</v>
      </c>
      <c r="C11" s="31">
        <v>100</v>
      </c>
      <c r="D11" s="31">
        <v>96</v>
      </c>
      <c r="E11" s="6"/>
      <c r="F11" s="29"/>
      <c r="G11" s="29"/>
      <c r="H11" s="31">
        <v>92</v>
      </c>
      <c r="I11" s="31">
        <v>88</v>
      </c>
      <c r="J11" s="4"/>
      <c r="K11" s="4"/>
      <c r="L11" s="4"/>
      <c r="M11" s="27">
        <v>98</v>
      </c>
      <c r="N11" s="27">
        <f t="shared" ref="N11:N31" si="0">AVERAGE(C11:D11)</f>
        <v>98</v>
      </c>
      <c r="O11" s="27">
        <f t="shared" ref="O11:O31" si="1">AVERAGE(H11:I11)</f>
        <v>90</v>
      </c>
      <c r="P11" s="6">
        <f t="shared" ref="P11:P31" si="2">AVERAGE(M11:O11)</f>
        <v>95.333333333333329</v>
      </c>
      <c r="R11" s="2" t="s">
        <v>19</v>
      </c>
    </row>
    <row r="12" spans="1:18" x14ac:dyDescent="0.35">
      <c r="A12" s="4">
        <v>3</v>
      </c>
      <c r="B12" s="15" t="s">
        <v>32</v>
      </c>
      <c r="C12" s="31">
        <v>86</v>
      </c>
      <c r="D12" s="31">
        <v>90</v>
      </c>
      <c r="E12" s="6"/>
      <c r="F12" s="29"/>
      <c r="G12" s="29"/>
      <c r="H12" s="31">
        <v>83</v>
      </c>
      <c r="I12" s="31">
        <v>87</v>
      </c>
      <c r="J12" s="4"/>
      <c r="K12" s="4"/>
      <c r="L12" s="4"/>
      <c r="M12" s="27">
        <v>93</v>
      </c>
      <c r="N12" s="27">
        <f t="shared" si="0"/>
        <v>88</v>
      </c>
      <c r="O12" s="27">
        <f t="shared" si="1"/>
        <v>85</v>
      </c>
      <c r="P12" s="6">
        <f t="shared" si="2"/>
        <v>88.666666666666671</v>
      </c>
      <c r="R12" s="2" t="s">
        <v>20</v>
      </c>
    </row>
    <row r="13" spans="1:18" x14ac:dyDescent="0.35">
      <c r="A13" s="4">
        <v>4</v>
      </c>
      <c r="B13" s="15" t="s">
        <v>33</v>
      </c>
      <c r="C13" s="31">
        <v>88</v>
      </c>
      <c r="D13" s="31">
        <v>92</v>
      </c>
      <c r="E13" s="6"/>
      <c r="F13" s="29"/>
      <c r="G13" s="29"/>
      <c r="H13" s="31">
        <v>94</v>
      </c>
      <c r="I13" s="31">
        <v>90</v>
      </c>
      <c r="J13" s="4"/>
      <c r="K13" s="4"/>
      <c r="L13" s="4"/>
      <c r="M13" s="27">
        <v>98</v>
      </c>
      <c r="N13" s="27">
        <f t="shared" si="0"/>
        <v>90</v>
      </c>
      <c r="O13" s="27">
        <f t="shared" si="1"/>
        <v>92</v>
      </c>
      <c r="P13" s="6">
        <f t="shared" si="2"/>
        <v>93.333333333333329</v>
      </c>
      <c r="R13" s="2" t="s">
        <v>21</v>
      </c>
    </row>
    <row r="14" spans="1:18" x14ac:dyDescent="0.35">
      <c r="A14" s="4">
        <v>5</v>
      </c>
      <c r="B14" s="15" t="s">
        <v>34</v>
      </c>
      <c r="C14" s="31">
        <v>45</v>
      </c>
      <c r="D14" s="31">
        <v>55</v>
      </c>
      <c r="E14" s="6"/>
      <c r="F14" s="29"/>
      <c r="G14" s="29"/>
      <c r="H14" s="31">
        <v>45</v>
      </c>
      <c r="I14" s="31">
        <v>55</v>
      </c>
      <c r="J14" s="4"/>
      <c r="K14" s="4"/>
      <c r="L14" s="4"/>
      <c r="M14" s="27">
        <v>50</v>
      </c>
      <c r="N14" s="27">
        <f t="shared" si="0"/>
        <v>50</v>
      </c>
      <c r="O14" s="27">
        <f t="shared" si="1"/>
        <v>50</v>
      </c>
      <c r="P14" s="6">
        <f t="shared" si="2"/>
        <v>50</v>
      </c>
      <c r="R14" s="2" t="s">
        <v>12</v>
      </c>
    </row>
    <row r="15" spans="1:18" x14ac:dyDescent="0.35">
      <c r="A15" s="4">
        <v>6</v>
      </c>
      <c r="B15" s="15" t="s">
        <v>35</v>
      </c>
      <c r="C15" s="31">
        <v>90</v>
      </c>
      <c r="D15" s="31">
        <v>86</v>
      </c>
      <c r="E15" s="27"/>
      <c r="F15" s="27"/>
      <c r="G15" s="29"/>
      <c r="H15" s="31">
        <v>95</v>
      </c>
      <c r="I15" s="31">
        <v>91</v>
      </c>
      <c r="J15" s="4"/>
      <c r="K15" s="4"/>
      <c r="L15" s="4"/>
      <c r="M15" s="27">
        <v>99</v>
      </c>
      <c r="N15" s="27">
        <f t="shared" si="0"/>
        <v>88</v>
      </c>
      <c r="O15" s="27">
        <f t="shared" si="1"/>
        <v>93</v>
      </c>
      <c r="P15" s="6">
        <f t="shared" si="2"/>
        <v>93.333333333333329</v>
      </c>
      <c r="R15" s="5"/>
    </row>
    <row r="16" spans="1:18" x14ac:dyDescent="0.35">
      <c r="A16" s="4">
        <v>7</v>
      </c>
      <c r="B16" s="15" t="s">
        <v>36</v>
      </c>
      <c r="C16" s="31">
        <v>94</v>
      </c>
      <c r="D16" s="31">
        <v>96</v>
      </c>
      <c r="E16" s="6"/>
      <c r="F16" s="29"/>
      <c r="G16" s="29"/>
      <c r="H16" s="31">
        <v>88</v>
      </c>
      <c r="I16" s="31">
        <v>92</v>
      </c>
      <c r="J16" s="4"/>
      <c r="K16" s="4"/>
      <c r="L16" s="4"/>
      <c r="M16" s="27">
        <v>90</v>
      </c>
      <c r="N16" s="27">
        <f t="shared" si="0"/>
        <v>95</v>
      </c>
      <c r="O16" s="27">
        <f t="shared" si="1"/>
        <v>90</v>
      </c>
      <c r="P16" s="6">
        <f t="shared" si="2"/>
        <v>91.666666666666671</v>
      </c>
      <c r="R16" s="5"/>
    </row>
    <row r="17" spans="1:18" x14ac:dyDescent="0.35">
      <c r="A17" s="4">
        <v>8</v>
      </c>
      <c r="B17" s="15" t="s">
        <v>37</v>
      </c>
      <c r="C17" s="31">
        <v>87</v>
      </c>
      <c r="D17" s="31">
        <v>89</v>
      </c>
      <c r="E17" s="6"/>
      <c r="F17" s="29"/>
      <c r="G17" s="29"/>
      <c r="H17" s="31">
        <v>87</v>
      </c>
      <c r="I17" s="31">
        <v>89</v>
      </c>
      <c r="J17" s="4"/>
      <c r="K17" s="4"/>
      <c r="L17" s="4"/>
      <c r="M17" s="27">
        <v>98</v>
      </c>
      <c r="N17" s="27">
        <f t="shared" si="0"/>
        <v>88</v>
      </c>
      <c r="O17" s="27">
        <f t="shared" si="1"/>
        <v>88</v>
      </c>
      <c r="P17" s="6">
        <f t="shared" si="2"/>
        <v>91.333333333333329</v>
      </c>
      <c r="R17" s="5"/>
    </row>
    <row r="18" spans="1:18" x14ac:dyDescent="0.35">
      <c r="A18" s="4">
        <v>9</v>
      </c>
      <c r="B18" s="15" t="s">
        <v>38</v>
      </c>
      <c r="C18" s="31">
        <v>92</v>
      </c>
      <c r="D18" s="31">
        <v>88</v>
      </c>
      <c r="E18" s="6"/>
      <c r="F18" s="29"/>
      <c r="G18" s="29"/>
      <c r="H18" s="31">
        <v>50</v>
      </c>
      <c r="I18" s="31">
        <v>50</v>
      </c>
      <c r="J18" s="4"/>
      <c r="K18" s="4"/>
      <c r="L18" s="4"/>
      <c r="M18" s="27">
        <v>50</v>
      </c>
      <c r="N18" s="27">
        <f t="shared" si="0"/>
        <v>90</v>
      </c>
      <c r="O18" s="27">
        <f t="shared" si="1"/>
        <v>50</v>
      </c>
      <c r="P18" s="6">
        <f t="shared" si="2"/>
        <v>63.333333333333336</v>
      </c>
      <c r="R18" s="5"/>
    </row>
    <row r="19" spans="1:18" x14ac:dyDescent="0.35">
      <c r="A19" s="16">
        <v>10</v>
      </c>
      <c r="B19" s="17" t="s">
        <v>39</v>
      </c>
      <c r="C19" s="31">
        <v>90</v>
      </c>
      <c r="D19" s="31">
        <v>90</v>
      </c>
      <c r="E19" s="18"/>
      <c r="F19" s="27"/>
      <c r="G19" s="27"/>
      <c r="H19" s="31">
        <v>94</v>
      </c>
      <c r="I19" s="31">
        <v>92</v>
      </c>
      <c r="J19" s="16"/>
      <c r="K19" s="16"/>
      <c r="L19" s="16"/>
      <c r="M19" s="27">
        <v>99</v>
      </c>
      <c r="N19" s="27">
        <f t="shared" si="0"/>
        <v>90</v>
      </c>
      <c r="O19" s="27">
        <f t="shared" si="1"/>
        <v>93</v>
      </c>
      <c r="P19" s="6">
        <f t="shared" si="2"/>
        <v>94</v>
      </c>
      <c r="R19" s="5"/>
    </row>
    <row r="20" spans="1:18" x14ac:dyDescent="0.35">
      <c r="A20" s="4">
        <v>11</v>
      </c>
      <c r="B20" s="15" t="s">
        <v>40</v>
      </c>
      <c r="C20" s="31">
        <v>83</v>
      </c>
      <c r="D20" s="31">
        <v>87</v>
      </c>
      <c r="E20" s="6"/>
      <c r="F20" s="29"/>
      <c r="G20" s="29"/>
      <c r="H20" s="31">
        <v>48</v>
      </c>
      <c r="I20" s="31">
        <v>52</v>
      </c>
      <c r="J20" s="4"/>
      <c r="K20" s="4"/>
      <c r="L20" s="4"/>
      <c r="M20" s="27">
        <v>50</v>
      </c>
      <c r="N20" s="27">
        <f t="shared" si="0"/>
        <v>85</v>
      </c>
      <c r="O20" s="27">
        <f t="shared" si="1"/>
        <v>50</v>
      </c>
      <c r="P20" s="6">
        <f t="shared" si="2"/>
        <v>61.666666666666664</v>
      </c>
      <c r="R20" s="5"/>
    </row>
    <row r="21" spans="1:18" x14ac:dyDescent="0.35">
      <c r="A21" s="4">
        <v>12</v>
      </c>
      <c r="B21" s="15" t="s">
        <v>41</v>
      </c>
      <c r="C21" s="31">
        <v>86</v>
      </c>
      <c r="D21" s="31">
        <v>90</v>
      </c>
      <c r="E21" s="6"/>
      <c r="F21" s="29"/>
      <c r="G21" s="29"/>
      <c r="H21" s="31">
        <v>91</v>
      </c>
      <c r="I21" s="31">
        <v>89</v>
      </c>
      <c r="J21" s="4"/>
      <c r="K21" s="4"/>
      <c r="L21" s="4"/>
      <c r="M21" s="27">
        <v>99</v>
      </c>
      <c r="N21" s="27">
        <f t="shared" si="0"/>
        <v>88</v>
      </c>
      <c r="O21" s="27">
        <f t="shared" si="1"/>
        <v>90</v>
      </c>
      <c r="P21" s="6">
        <f t="shared" si="2"/>
        <v>92.333333333333329</v>
      </c>
      <c r="R21" s="5"/>
    </row>
    <row r="22" spans="1:18" x14ac:dyDescent="0.35">
      <c r="A22" s="4">
        <v>13</v>
      </c>
      <c r="B22" s="15" t="s">
        <v>42</v>
      </c>
      <c r="C22" s="31">
        <v>96</v>
      </c>
      <c r="D22" s="31">
        <v>94</v>
      </c>
      <c r="E22" s="6"/>
      <c r="F22" s="29"/>
      <c r="G22" s="29"/>
      <c r="H22" s="31">
        <v>90</v>
      </c>
      <c r="I22" s="31">
        <v>90</v>
      </c>
      <c r="J22" s="4"/>
      <c r="K22" s="4"/>
      <c r="L22" s="4"/>
      <c r="M22" s="27">
        <v>99</v>
      </c>
      <c r="N22" s="27">
        <f t="shared" si="0"/>
        <v>95</v>
      </c>
      <c r="O22" s="27">
        <f t="shared" si="1"/>
        <v>90</v>
      </c>
      <c r="P22" s="6">
        <f t="shared" si="2"/>
        <v>94.666666666666671</v>
      </c>
      <c r="R22" s="5"/>
    </row>
    <row r="23" spans="1:18" x14ac:dyDescent="0.35">
      <c r="A23" s="4">
        <v>14</v>
      </c>
      <c r="B23" s="15" t="s">
        <v>43</v>
      </c>
      <c r="C23" s="31">
        <v>93</v>
      </c>
      <c r="D23" s="31">
        <v>97</v>
      </c>
      <c r="E23" s="6"/>
      <c r="F23" s="29"/>
      <c r="G23" s="29"/>
      <c r="H23" s="31">
        <v>88</v>
      </c>
      <c r="I23" s="31">
        <v>92</v>
      </c>
      <c r="J23" s="4"/>
      <c r="K23" s="4"/>
      <c r="L23" s="4"/>
      <c r="M23" s="27">
        <v>98</v>
      </c>
      <c r="N23" s="27">
        <f t="shared" si="0"/>
        <v>95</v>
      </c>
      <c r="O23" s="27">
        <f t="shared" si="1"/>
        <v>90</v>
      </c>
      <c r="P23" s="6">
        <f t="shared" si="2"/>
        <v>94.333333333333329</v>
      </c>
      <c r="R23" s="5"/>
    </row>
    <row r="24" spans="1:18" x14ac:dyDescent="0.35">
      <c r="A24" s="4">
        <v>15</v>
      </c>
      <c r="B24" s="15" t="s">
        <v>44</v>
      </c>
      <c r="C24" s="31">
        <v>97</v>
      </c>
      <c r="D24" s="31">
        <v>99</v>
      </c>
      <c r="E24" s="6"/>
      <c r="F24" s="29"/>
      <c r="G24" s="29"/>
      <c r="H24" s="31">
        <v>92</v>
      </c>
      <c r="I24" s="31">
        <v>88</v>
      </c>
      <c r="J24" s="4"/>
      <c r="K24" s="4"/>
      <c r="L24" s="4"/>
      <c r="M24" s="27">
        <v>99</v>
      </c>
      <c r="N24" s="27">
        <f t="shared" si="0"/>
        <v>98</v>
      </c>
      <c r="O24" s="27">
        <f t="shared" si="1"/>
        <v>90</v>
      </c>
      <c r="P24" s="6">
        <f t="shared" si="2"/>
        <v>95.666666666666671</v>
      </c>
      <c r="R24" s="5"/>
    </row>
    <row r="25" spans="1:18" x14ac:dyDescent="0.35">
      <c r="A25" s="4">
        <v>16</v>
      </c>
      <c r="B25" s="15" t="s">
        <v>45</v>
      </c>
      <c r="C25" s="31">
        <v>89</v>
      </c>
      <c r="D25" s="31">
        <v>87</v>
      </c>
      <c r="E25" s="6"/>
      <c r="F25" s="29"/>
      <c r="G25" s="29"/>
      <c r="H25" s="31">
        <v>90</v>
      </c>
      <c r="I25" s="31">
        <v>86</v>
      </c>
      <c r="J25" s="4"/>
      <c r="K25" s="4"/>
      <c r="L25" s="4"/>
      <c r="M25" s="27">
        <v>93</v>
      </c>
      <c r="N25" s="27">
        <f t="shared" si="0"/>
        <v>88</v>
      </c>
      <c r="O25" s="27">
        <f t="shared" si="1"/>
        <v>88</v>
      </c>
      <c r="P25" s="6">
        <f t="shared" si="2"/>
        <v>89.666666666666671</v>
      </c>
      <c r="R25" s="5"/>
    </row>
    <row r="26" spans="1:18" x14ac:dyDescent="0.35">
      <c r="A26" s="4">
        <v>17</v>
      </c>
      <c r="B26" s="15" t="s">
        <v>46</v>
      </c>
      <c r="C26" s="31">
        <v>90</v>
      </c>
      <c r="D26" s="31">
        <v>86</v>
      </c>
      <c r="E26" s="6"/>
      <c r="F26" s="29"/>
      <c r="G26" s="29"/>
      <c r="H26" s="31">
        <v>54</v>
      </c>
      <c r="I26" s="31">
        <v>46</v>
      </c>
      <c r="J26" s="4"/>
      <c r="K26" s="4"/>
      <c r="L26" s="4"/>
      <c r="M26" s="27">
        <v>50</v>
      </c>
      <c r="N26" s="27">
        <f t="shared" si="0"/>
        <v>88</v>
      </c>
      <c r="O26" s="27">
        <f t="shared" si="1"/>
        <v>50</v>
      </c>
      <c r="P26" s="6">
        <f t="shared" si="2"/>
        <v>62.666666666666664</v>
      </c>
      <c r="R26" s="5"/>
    </row>
    <row r="27" spans="1:18" x14ac:dyDescent="0.35">
      <c r="A27" s="4">
        <v>18</v>
      </c>
      <c r="B27" s="15" t="s">
        <v>47</v>
      </c>
      <c r="C27" s="31">
        <v>91</v>
      </c>
      <c r="D27" s="31">
        <v>89</v>
      </c>
      <c r="E27" s="6"/>
      <c r="F27" s="29"/>
      <c r="G27" s="29"/>
      <c r="H27" s="31">
        <v>93</v>
      </c>
      <c r="I27" s="31">
        <v>97</v>
      </c>
      <c r="J27" s="4"/>
      <c r="K27" s="4"/>
      <c r="L27" s="4"/>
      <c r="M27" s="27">
        <v>98</v>
      </c>
      <c r="N27" s="27">
        <f t="shared" si="0"/>
        <v>90</v>
      </c>
      <c r="O27" s="27">
        <f t="shared" si="1"/>
        <v>95</v>
      </c>
      <c r="P27" s="6">
        <f t="shared" si="2"/>
        <v>94.333333333333329</v>
      </c>
      <c r="R27" s="5"/>
    </row>
    <row r="28" spans="1:18" x14ac:dyDescent="0.35">
      <c r="A28" s="4">
        <v>19</v>
      </c>
      <c r="B28" s="15" t="s">
        <v>48</v>
      </c>
      <c r="C28" s="31">
        <v>88</v>
      </c>
      <c r="D28" s="31">
        <v>88</v>
      </c>
      <c r="E28" s="6"/>
      <c r="F28" s="29"/>
      <c r="G28" s="29"/>
      <c r="H28" s="31">
        <v>78</v>
      </c>
      <c r="I28" s="31">
        <v>82</v>
      </c>
      <c r="J28" s="4"/>
      <c r="K28" s="4"/>
      <c r="L28" s="4"/>
      <c r="M28" s="27">
        <v>70</v>
      </c>
      <c r="N28" s="27">
        <f t="shared" si="0"/>
        <v>88</v>
      </c>
      <c r="O28" s="27">
        <f t="shared" si="1"/>
        <v>80</v>
      </c>
      <c r="P28" s="6">
        <f t="shared" si="2"/>
        <v>79.333333333333329</v>
      </c>
      <c r="R28" s="5"/>
    </row>
    <row r="29" spans="1:18" x14ac:dyDescent="0.35">
      <c r="A29" s="4">
        <v>20</v>
      </c>
      <c r="B29" s="15" t="s">
        <v>49</v>
      </c>
      <c r="C29" s="31">
        <v>92</v>
      </c>
      <c r="D29" s="31">
        <v>88</v>
      </c>
      <c r="E29" s="6"/>
      <c r="F29" s="29"/>
      <c r="G29" s="29"/>
      <c r="H29" s="31">
        <v>89</v>
      </c>
      <c r="I29" s="31">
        <v>91</v>
      </c>
      <c r="J29" s="4"/>
      <c r="K29" s="4"/>
      <c r="L29" s="4"/>
      <c r="M29" s="27">
        <v>93</v>
      </c>
      <c r="N29" s="27">
        <f t="shared" si="0"/>
        <v>90</v>
      </c>
      <c r="O29" s="27">
        <f t="shared" si="1"/>
        <v>90</v>
      </c>
      <c r="P29" s="6">
        <f t="shared" si="2"/>
        <v>91</v>
      </c>
      <c r="R29" s="5"/>
    </row>
    <row r="30" spans="1:18" x14ac:dyDescent="0.35">
      <c r="A30" s="4">
        <v>21</v>
      </c>
      <c r="B30" s="15" t="s">
        <v>50</v>
      </c>
      <c r="C30" s="31">
        <v>87</v>
      </c>
      <c r="D30" s="31">
        <v>89</v>
      </c>
      <c r="E30" s="6"/>
      <c r="F30" s="29"/>
      <c r="G30" s="29"/>
      <c r="H30" s="31">
        <v>92</v>
      </c>
      <c r="I30" s="31">
        <v>88</v>
      </c>
      <c r="J30" s="4"/>
      <c r="K30" s="4"/>
      <c r="L30" s="4"/>
      <c r="M30" s="27">
        <v>98</v>
      </c>
      <c r="N30" s="27">
        <f t="shared" si="0"/>
        <v>88</v>
      </c>
      <c r="O30" s="27">
        <f t="shared" si="1"/>
        <v>90</v>
      </c>
      <c r="P30" s="6">
        <f t="shared" si="2"/>
        <v>92</v>
      </c>
      <c r="R30" s="5"/>
    </row>
    <row r="31" spans="1:18" x14ac:dyDescent="0.35">
      <c r="A31" s="4">
        <v>22</v>
      </c>
      <c r="B31" s="15" t="s">
        <v>51</v>
      </c>
      <c r="C31" s="31">
        <v>99</v>
      </c>
      <c r="D31" s="31">
        <v>97</v>
      </c>
      <c r="E31" s="6"/>
      <c r="F31" s="29"/>
      <c r="G31" s="29"/>
      <c r="H31" s="31">
        <v>97</v>
      </c>
      <c r="I31" s="31">
        <v>99</v>
      </c>
      <c r="J31" s="4"/>
      <c r="K31" s="4"/>
      <c r="L31" s="4"/>
      <c r="M31" s="27">
        <v>99</v>
      </c>
      <c r="N31" s="27">
        <f t="shared" si="0"/>
        <v>98</v>
      </c>
      <c r="O31" s="27">
        <f t="shared" si="1"/>
        <v>98</v>
      </c>
      <c r="P31" s="6">
        <f t="shared" si="2"/>
        <v>98.333333333333329</v>
      </c>
      <c r="R31" s="5"/>
    </row>
    <row r="32" spans="1:18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0"/>
      <c r="O32" s="3"/>
      <c r="P32" s="3"/>
      <c r="Q32" s="3"/>
      <c r="R32" s="3"/>
    </row>
    <row r="34" spans="14:14" x14ac:dyDescent="0.35">
      <c r="N34" s="2" t="s">
        <v>97</v>
      </c>
    </row>
    <row r="35" spans="14:14" x14ac:dyDescent="0.35">
      <c r="N35" s="2" t="s">
        <v>13</v>
      </c>
    </row>
    <row r="36" spans="14:14" x14ac:dyDescent="0.35">
      <c r="N36" s="2"/>
    </row>
    <row r="37" spans="14:14" x14ac:dyDescent="0.35">
      <c r="N37" s="2"/>
    </row>
    <row r="38" spans="14:14" x14ac:dyDescent="0.35">
      <c r="N38" s="19" t="s">
        <v>98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4" zoomScale="71" zoomScaleNormal="71" workbookViewId="0">
      <selection activeCell="R22" sqref="R22"/>
    </sheetView>
  </sheetViews>
  <sheetFormatPr defaultRowHeight="14.5" x14ac:dyDescent="0.3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 x14ac:dyDescent="0.35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3"/>
      <c r="R1" s="3"/>
    </row>
    <row r="2" spans="1:18" ht="17.5" x14ac:dyDescent="0.35">
      <c r="A2" s="20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100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x14ac:dyDescent="0.35">
      <c r="A8" s="23" t="s">
        <v>2</v>
      </c>
      <c r="B8" s="24" t="s">
        <v>3</v>
      </c>
      <c r="C8" s="25" t="s">
        <v>25</v>
      </c>
      <c r="D8" s="25"/>
      <c r="E8" s="25"/>
      <c r="F8" s="25"/>
      <c r="G8" s="25"/>
      <c r="H8" s="26" t="s">
        <v>26</v>
      </c>
      <c r="I8" s="26"/>
      <c r="J8" s="26"/>
      <c r="K8" s="26"/>
      <c r="L8" s="26"/>
      <c r="M8" s="14" t="s">
        <v>9</v>
      </c>
      <c r="N8" s="21" t="s">
        <v>23</v>
      </c>
      <c r="O8" s="22"/>
      <c r="P8" s="10" t="s">
        <v>10</v>
      </c>
      <c r="R8" s="1" t="s">
        <v>16</v>
      </c>
    </row>
    <row r="9" spans="1:18" x14ac:dyDescent="0.35">
      <c r="A9" s="23"/>
      <c r="B9" s="24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 x14ac:dyDescent="0.35">
      <c r="A10" s="4">
        <v>1</v>
      </c>
      <c r="B10" s="32" t="s">
        <v>52</v>
      </c>
      <c r="C10" s="31">
        <v>83</v>
      </c>
      <c r="D10" s="31">
        <v>87</v>
      </c>
      <c r="E10" s="12"/>
      <c r="F10" s="28"/>
      <c r="G10" s="28"/>
      <c r="H10" s="31">
        <v>86</v>
      </c>
      <c r="I10" s="31">
        <v>90</v>
      </c>
      <c r="J10" s="13"/>
      <c r="K10" s="13"/>
      <c r="L10" s="13"/>
      <c r="M10" s="27">
        <v>98</v>
      </c>
      <c r="N10" s="27">
        <f>AVERAGE(C10:D10)</f>
        <v>85</v>
      </c>
      <c r="O10" s="27">
        <f>AVERAGE(H10:I10)</f>
        <v>88</v>
      </c>
      <c r="P10" s="6">
        <f>AVERAGE(M10:O10)</f>
        <v>90.333333333333329</v>
      </c>
      <c r="R10" s="2" t="s">
        <v>17</v>
      </c>
    </row>
    <row r="11" spans="1:18" x14ac:dyDescent="0.35">
      <c r="A11" s="4">
        <v>2</v>
      </c>
      <c r="B11" s="32" t="s">
        <v>53</v>
      </c>
      <c r="C11" s="31">
        <v>92</v>
      </c>
      <c r="D11" s="31">
        <v>88</v>
      </c>
      <c r="E11" s="6"/>
      <c r="F11" s="29"/>
      <c r="G11" s="29"/>
      <c r="H11" s="31">
        <v>92</v>
      </c>
      <c r="I11" s="31">
        <v>88</v>
      </c>
      <c r="J11" s="4"/>
      <c r="K11" s="4"/>
      <c r="L11" s="4"/>
      <c r="M11" s="27">
        <v>80</v>
      </c>
      <c r="N11" s="27">
        <f t="shared" ref="N11:N31" si="0">AVERAGE(C11:D11)</f>
        <v>90</v>
      </c>
      <c r="O11" s="27">
        <f t="shared" ref="O11:O31" si="1">AVERAGE(H11:I11)</f>
        <v>90</v>
      </c>
      <c r="P11" s="6">
        <f t="shared" ref="P11:P31" si="2">AVERAGE(M11:O11)</f>
        <v>86.666666666666671</v>
      </c>
      <c r="R11" s="2" t="s">
        <v>19</v>
      </c>
    </row>
    <row r="12" spans="1:18" x14ac:dyDescent="0.35">
      <c r="A12" s="4">
        <v>3</v>
      </c>
      <c r="B12" s="32" t="s">
        <v>54</v>
      </c>
      <c r="C12" s="31">
        <v>86</v>
      </c>
      <c r="D12" s="31">
        <v>90</v>
      </c>
      <c r="E12" s="6"/>
      <c r="F12" s="29"/>
      <c r="G12" s="29"/>
      <c r="H12" s="31">
        <v>90</v>
      </c>
      <c r="I12" s="31">
        <v>86</v>
      </c>
      <c r="J12" s="4"/>
      <c r="K12" s="4"/>
      <c r="L12" s="4"/>
      <c r="M12" s="27">
        <v>99</v>
      </c>
      <c r="N12" s="27">
        <f t="shared" si="0"/>
        <v>88</v>
      </c>
      <c r="O12" s="27">
        <f t="shared" si="1"/>
        <v>88</v>
      </c>
      <c r="P12" s="6">
        <f t="shared" si="2"/>
        <v>91.666666666666671</v>
      </c>
      <c r="R12" s="2" t="s">
        <v>20</v>
      </c>
    </row>
    <row r="13" spans="1:18" ht="15.5" x14ac:dyDescent="0.35">
      <c r="A13" s="4">
        <v>4</v>
      </c>
      <c r="B13" s="33" t="s">
        <v>73</v>
      </c>
      <c r="C13" s="31">
        <v>97</v>
      </c>
      <c r="D13" s="31">
        <v>93</v>
      </c>
      <c r="E13" s="6"/>
      <c r="F13" s="29"/>
      <c r="G13" s="29"/>
      <c r="H13" s="31">
        <v>97</v>
      </c>
      <c r="I13" s="31">
        <v>93</v>
      </c>
      <c r="J13" s="4"/>
      <c r="K13" s="4"/>
      <c r="L13" s="4"/>
      <c r="M13" s="27">
        <v>99</v>
      </c>
      <c r="N13" s="27">
        <f t="shared" si="0"/>
        <v>95</v>
      </c>
      <c r="O13" s="27">
        <f t="shared" si="1"/>
        <v>95</v>
      </c>
      <c r="P13" s="6">
        <f t="shared" si="2"/>
        <v>96.333333333333329</v>
      </c>
      <c r="R13" s="2" t="s">
        <v>21</v>
      </c>
    </row>
    <row r="14" spans="1:18" x14ac:dyDescent="0.35">
      <c r="A14" s="4">
        <v>5</v>
      </c>
      <c r="B14" s="32" t="s">
        <v>55</v>
      </c>
      <c r="C14" s="31">
        <v>85</v>
      </c>
      <c r="D14" s="31">
        <v>89</v>
      </c>
      <c r="E14" s="6"/>
      <c r="F14" s="29"/>
      <c r="G14" s="29"/>
      <c r="H14" s="31">
        <v>100</v>
      </c>
      <c r="I14" s="31">
        <v>96</v>
      </c>
      <c r="J14" s="4"/>
      <c r="K14" s="4"/>
      <c r="L14" s="4"/>
      <c r="M14" s="27">
        <v>95</v>
      </c>
      <c r="N14" s="27">
        <f t="shared" si="0"/>
        <v>87</v>
      </c>
      <c r="O14" s="27">
        <f t="shared" si="1"/>
        <v>98</v>
      </c>
      <c r="P14" s="6">
        <f t="shared" si="2"/>
        <v>93.333333333333329</v>
      </c>
      <c r="R14" s="2" t="s">
        <v>12</v>
      </c>
    </row>
    <row r="15" spans="1:18" x14ac:dyDescent="0.35">
      <c r="A15" s="4">
        <v>6</v>
      </c>
      <c r="B15" s="32" t="s">
        <v>72</v>
      </c>
      <c r="C15" s="31">
        <v>88</v>
      </c>
      <c r="D15" s="31">
        <v>84</v>
      </c>
      <c r="E15" s="6"/>
      <c r="F15" s="29"/>
      <c r="G15" s="29"/>
      <c r="H15" s="31">
        <v>87</v>
      </c>
      <c r="I15" s="31">
        <v>89</v>
      </c>
      <c r="J15" s="4"/>
      <c r="K15" s="4"/>
      <c r="L15" s="4"/>
      <c r="M15" s="27">
        <v>93</v>
      </c>
      <c r="N15" s="27">
        <f t="shared" si="0"/>
        <v>86</v>
      </c>
      <c r="O15" s="27">
        <f t="shared" si="1"/>
        <v>88</v>
      </c>
      <c r="P15" s="6">
        <f t="shared" si="2"/>
        <v>89</v>
      </c>
      <c r="R15" s="5"/>
    </row>
    <row r="16" spans="1:18" x14ac:dyDescent="0.35">
      <c r="A16" s="4">
        <v>7</v>
      </c>
      <c r="B16" s="32" t="s">
        <v>56</v>
      </c>
      <c r="C16" s="31">
        <v>84</v>
      </c>
      <c r="D16" s="31">
        <v>86</v>
      </c>
      <c r="E16" s="6"/>
      <c r="F16" s="29"/>
      <c r="G16" s="29"/>
      <c r="H16" s="31">
        <v>68</v>
      </c>
      <c r="I16" s="31">
        <v>72</v>
      </c>
      <c r="J16" s="4"/>
      <c r="K16" s="4"/>
      <c r="L16" s="4"/>
      <c r="M16" s="27">
        <v>98</v>
      </c>
      <c r="N16" s="27">
        <f t="shared" si="0"/>
        <v>85</v>
      </c>
      <c r="O16" s="27">
        <f t="shared" si="1"/>
        <v>70</v>
      </c>
      <c r="P16" s="6">
        <f t="shared" si="2"/>
        <v>84.333333333333329</v>
      </c>
      <c r="R16" s="5"/>
    </row>
    <row r="17" spans="1:18" x14ac:dyDescent="0.35">
      <c r="A17" s="4">
        <v>8</v>
      </c>
      <c r="B17" s="32" t="s">
        <v>57</v>
      </c>
      <c r="C17" s="31">
        <v>100</v>
      </c>
      <c r="D17" s="31">
        <v>96</v>
      </c>
      <c r="E17" s="6"/>
      <c r="F17" s="29"/>
      <c r="G17" s="29"/>
      <c r="H17" s="31">
        <v>98</v>
      </c>
      <c r="I17" s="31">
        <v>98</v>
      </c>
      <c r="J17" s="4"/>
      <c r="K17" s="4"/>
      <c r="L17" s="4"/>
      <c r="M17" s="27">
        <v>97</v>
      </c>
      <c r="N17" s="27">
        <f t="shared" si="0"/>
        <v>98</v>
      </c>
      <c r="O17" s="27">
        <f t="shared" si="1"/>
        <v>98</v>
      </c>
      <c r="P17" s="6">
        <f t="shared" si="2"/>
        <v>97.666666666666671</v>
      </c>
      <c r="R17" s="5"/>
    </row>
    <row r="18" spans="1:18" x14ac:dyDescent="0.35">
      <c r="A18" s="4">
        <v>9</v>
      </c>
      <c r="B18" s="32" t="s">
        <v>58</v>
      </c>
      <c r="C18" s="31">
        <v>90</v>
      </c>
      <c r="D18" s="31">
        <v>86</v>
      </c>
      <c r="E18" s="6"/>
      <c r="F18" s="29"/>
      <c r="G18" s="29"/>
      <c r="H18" s="31">
        <v>83</v>
      </c>
      <c r="I18" s="31">
        <v>87</v>
      </c>
      <c r="J18" s="4"/>
      <c r="K18" s="4"/>
      <c r="L18" s="4"/>
      <c r="M18" s="27">
        <v>95</v>
      </c>
      <c r="N18" s="27">
        <f t="shared" si="0"/>
        <v>88</v>
      </c>
      <c r="O18" s="27">
        <f t="shared" si="1"/>
        <v>85</v>
      </c>
      <c r="P18" s="6">
        <f t="shared" si="2"/>
        <v>89.333333333333329</v>
      </c>
      <c r="R18" s="5"/>
    </row>
    <row r="19" spans="1:18" x14ac:dyDescent="0.35">
      <c r="A19" s="4">
        <v>10</v>
      </c>
      <c r="B19" s="32" t="s">
        <v>59</v>
      </c>
      <c r="C19" s="31">
        <v>97</v>
      </c>
      <c r="D19" s="31">
        <v>99</v>
      </c>
      <c r="E19" s="6"/>
      <c r="F19" s="29"/>
      <c r="G19" s="29"/>
      <c r="H19" s="31">
        <v>97</v>
      </c>
      <c r="I19" s="31">
        <v>99</v>
      </c>
      <c r="J19" s="4"/>
      <c r="K19" s="4"/>
      <c r="L19" s="4"/>
      <c r="M19" s="27">
        <v>99</v>
      </c>
      <c r="N19" s="27">
        <f t="shared" si="0"/>
        <v>98</v>
      </c>
      <c r="O19" s="27">
        <f t="shared" si="1"/>
        <v>98</v>
      </c>
      <c r="P19" s="6">
        <f t="shared" si="2"/>
        <v>98.333333333333329</v>
      </c>
      <c r="R19" s="5"/>
    </row>
    <row r="20" spans="1:18" x14ac:dyDescent="0.35">
      <c r="A20" s="4">
        <v>11</v>
      </c>
      <c r="B20" s="32" t="s">
        <v>60</v>
      </c>
      <c r="C20" s="31">
        <v>98</v>
      </c>
      <c r="D20" s="31">
        <v>98</v>
      </c>
      <c r="E20" s="6"/>
      <c r="F20" s="29"/>
      <c r="G20" s="29"/>
      <c r="H20" s="31">
        <v>100</v>
      </c>
      <c r="I20" s="31">
        <v>96</v>
      </c>
      <c r="J20" s="4"/>
      <c r="K20" s="4"/>
      <c r="L20" s="4"/>
      <c r="M20" s="27">
        <v>99</v>
      </c>
      <c r="N20" s="27">
        <f t="shared" si="0"/>
        <v>98</v>
      </c>
      <c r="O20" s="27">
        <f t="shared" si="1"/>
        <v>98</v>
      </c>
      <c r="P20" s="6">
        <f t="shared" si="2"/>
        <v>98.333333333333329</v>
      </c>
      <c r="R20" s="5"/>
    </row>
    <row r="21" spans="1:18" x14ac:dyDescent="0.35">
      <c r="A21" s="4">
        <v>12</v>
      </c>
      <c r="B21" s="32" t="s">
        <v>61</v>
      </c>
      <c r="C21" s="31">
        <v>99</v>
      </c>
      <c r="D21" s="31">
        <v>97</v>
      </c>
      <c r="E21" s="6"/>
      <c r="F21" s="29"/>
      <c r="G21" s="29"/>
      <c r="H21" s="31">
        <v>97</v>
      </c>
      <c r="I21" s="31">
        <v>99</v>
      </c>
      <c r="J21" s="4"/>
      <c r="K21" s="4"/>
      <c r="L21" s="4"/>
      <c r="M21" s="27">
        <v>99</v>
      </c>
      <c r="N21" s="27">
        <f t="shared" si="0"/>
        <v>98</v>
      </c>
      <c r="O21" s="27">
        <f t="shared" si="1"/>
        <v>98</v>
      </c>
      <c r="P21" s="6">
        <f t="shared" si="2"/>
        <v>98.333333333333329</v>
      </c>
      <c r="R21" s="5"/>
    </row>
    <row r="22" spans="1:18" x14ac:dyDescent="0.35">
      <c r="A22" s="4">
        <v>13</v>
      </c>
      <c r="B22" s="32" t="s">
        <v>62</v>
      </c>
      <c r="C22" s="31">
        <v>88</v>
      </c>
      <c r="D22" s="31">
        <v>92</v>
      </c>
      <c r="E22" s="6"/>
      <c r="F22" s="29"/>
      <c r="G22" s="29"/>
      <c r="H22" s="31">
        <v>90</v>
      </c>
      <c r="I22" s="31">
        <v>86</v>
      </c>
      <c r="J22" s="4"/>
      <c r="K22" s="4"/>
      <c r="L22" s="4"/>
      <c r="M22" s="27">
        <v>95</v>
      </c>
      <c r="N22" s="27">
        <f t="shared" si="0"/>
        <v>90</v>
      </c>
      <c r="O22" s="27">
        <f t="shared" si="1"/>
        <v>88</v>
      </c>
      <c r="P22" s="6">
        <f t="shared" si="2"/>
        <v>91</v>
      </c>
      <c r="R22" s="5"/>
    </row>
    <row r="23" spans="1:18" x14ac:dyDescent="0.35">
      <c r="A23" s="4">
        <v>14</v>
      </c>
      <c r="B23" s="32" t="s">
        <v>63</v>
      </c>
      <c r="C23" s="31">
        <v>91</v>
      </c>
      <c r="D23" s="31">
        <v>89</v>
      </c>
      <c r="E23" s="6"/>
      <c r="F23" s="29"/>
      <c r="G23" s="29"/>
      <c r="H23" s="31">
        <v>83</v>
      </c>
      <c r="I23" s="31">
        <v>87</v>
      </c>
      <c r="J23" s="4"/>
      <c r="K23" s="4"/>
      <c r="L23" s="4"/>
      <c r="M23" s="27">
        <v>98</v>
      </c>
      <c r="N23" s="27">
        <f t="shared" si="0"/>
        <v>90</v>
      </c>
      <c r="O23" s="27">
        <f t="shared" si="1"/>
        <v>85</v>
      </c>
      <c r="P23" s="6">
        <f t="shared" si="2"/>
        <v>91</v>
      </c>
      <c r="R23" s="5"/>
    </row>
    <row r="24" spans="1:18" x14ac:dyDescent="0.35">
      <c r="A24" s="4">
        <v>15</v>
      </c>
      <c r="B24" s="32" t="s">
        <v>64</v>
      </c>
      <c r="C24" s="31">
        <v>96</v>
      </c>
      <c r="D24" s="31">
        <v>100</v>
      </c>
      <c r="E24" s="6"/>
      <c r="F24" s="29"/>
      <c r="G24" s="29"/>
      <c r="H24" s="31">
        <v>96</v>
      </c>
      <c r="I24" s="31">
        <v>100</v>
      </c>
      <c r="J24" s="4"/>
      <c r="K24" s="4"/>
      <c r="L24" s="4"/>
      <c r="M24" s="27">
        <v>99</v>
      </c>
      <c r="N24" s="27">
        <f t="shared" si="0"/>
        <v>98</v>
      </c>
      <c r="O24" s="27">
        <f t="shared" si="1"/>
        <v>98</v>
      </c>
      <c r="P24" s="6">
        <f t="shared" si="2"/>
        <v>98.333333333333329</v>
      </c>
      <c r="R24" s="5"/>
    </row>
    <row r="25" spans="1:18" x14ac:dyDescent="0.35">
      <c r="A25" s="4">
        <v>16</v>
      </c>
      <c r="B25" s="32" t="s">
        <v>65</v>
      </c>
      <c r="C25" s="31">
        <v>90</v>
      </c>
      <c r="D25" s="31">
        <v>90</v>
      </c>
      <c r="E25" s="6"/>
      <c r="F25" s="29"/>
      <c r="G25" s="29"/>
      <c r="H25" s="31">
        <v>93</v>
      </c>
      <c r="I25" s="31">
        <v>97</v>
      </c>
      <c r="J25" s="4"/>
      <c r="K25" s="4"/>
      <c r="L25" s="4"/>
      <c r="M25" s="27">
        <v>99</v>
      </c>
      <c r="N25" s="27">
        <f t="shared" si="0"/>
        <v>90</v>
      </c>
      <c r="O25" s="27">
        <f t="shared" si="1"/>
        <v>95</v>
      </c>
      <c r="P25" s="6">
        <f t="shared" si="2"/>
        <v>94.666666666666671</v>
      </c>
      <c r="R25" s="5"/>
    </row>
    <row r="26" spans="1:18" x14ac:dyDescent="0.35">
      <c r="A26" s="4">
        <v>17</v>
      </c>
      <c r="B26" s="32" t="s">
        <v>66</v>
      </c>
      <c r="C26" s="31">
        <v>94</v>
      </c>
      <c r="D26" s="31">
        <v>98</v>
      </c>
      <c r="E26" s="6"/>
      <c r="F26" s="29"/>
      <c r="G26" s="29"/>
      <c r="H26" s="31">
        <v>86</v>
      </c>
      <c r="I26" s="31">
        <v>90</v>
      </c>
      <c r="J26" s="4"/>
      <c r="K26" s="4"/>
      <c r="L26" s="4"/>
      <c r="M26" s="27">
        <v>95</v>
      </c>
      <c r="N26" s="27">
        <f t="shared" si="0"/>
        <v>96</v>
      </c>
      <c r="O26" s="27">
        <f t="shared" si="1"/>
        <v>88</v>
      </c>
      <c r="P26" s="6">
        <f t="shared" si="2"/>
        <v>93</v>
      </c>
      <c r="R26" s="5"/>
    </row>
    <row r="27" spans="1:18" x14ac:dyDescent="0.35">
      <c r="A27" s="4">
        <v>18</v>
      </c>
      <c r="B27" s="32" t="s">
        <v>67</v>
      </c>
      <c r="C27" s="31">
        <v>87</v>
      </c>
      <c r="D27" s="31">
        <v>83</v>
      </c>
      <c r="E27" s="6"/>
      <c r="F27" s="29"/>
      <c r="G27" s="29"/>
      <c r="H27" s="31">
        <v>90</v>
      </c>
      <c r="I27" s="31">
        <v>86</v>
      </c>
      <c r="J27" s="4"/>
      <c r="K27" s="4"/>
      <c r="L27" s="4"/>
      <c r="M27" s="27">
        <v>95</v>
      </c>
      <c r="N27" s="27">
        <f t="shared" si="0"/>
        <v>85</v>
      </c>
      <c r="O27" s="27">
        <f t="shared" si="1"/>
        <v>88</v>
      </c>
      <c r="P27" s="6">
        <f t="shared" si="2"/>
        <v>89.333333333333329</v>
      </c>
      <c r="R27" s="5"/>
    </row>
    <row r="28" spans="1:18" x14ac:dyDescent="0.35">
      <c r="A28" s="4">
        <v>19</v>
      </c>
      <c r="B28" s="32" t="s">
        <v>68</v>
      </c>
      <c r="C28" s="31">
        <v>86</v>
      </c>
      <c r="D28" s="31">
        <v>84</v>
      </c>
      <c r="E28" s="6"/>
      <c r="F28" s="29"/>
      <c r="G28" s="29"/>
      <c r="H28" s="31">
        <v>68</v>
      </c>
      <c r="I28" s="31">
        <v>72</v>
      </c>
      <c r="J28" s="4"/>
      <c r="K28" s="4"/>
      <c r="L28" s="4"/>
      <c r="M28" s="27">
        <v>98</v>
      </c>
      <c r="N28" s="27">
        <f t="shared" si="0"/>
        <v>85</v>
      </c>
      <c r="O28" s="27">
        <f t="shared" si="1"/>
        <v>70</v>
      </c>
      <c r="P28" s="6">
        <f t="shared" si="2"/>
        <v>84.333333333333329</v>
      </c>
      <c r="R28" s="5"/>
    </row>
    <row r="29" spans="1:18" x14ac:dyDescent="0.35">
      <c r="A29" s="4">
        <v>20</v>
      </c>
      <c r="B29" s="32" t="s">
        <v>69</v>
      </c>
      <c r="C29" s="31">
        <v>93</v>
      </c>
      <c r="D29" s="31">
        <v>97</v>
      </c>
      <c r="E29" s="6"/>
      <c r="F29" s="29"/>
      <c r="G29" s="29"/>
      <c r="H29" s="31">
        <v>87</v>
      </c>
      <c r="I29" s="31">
        <v>89</v>
      </c>
      <c r="J29" s="4"/>
      <c r="K29" s="4"/>
      <c r="L29" s="4"/>
      <c r="M29" s="27">
        <v>95</v>
      </c>
      <c r="N29" s="27">
        <f t="shared" si="0"/>
        <v>95</v>
      </c>
      <c r="O29" s="27">
        <f t="shared" si="1"/>
        <v>88</v>
      </c>
      <c r="P29" s="6">
        <f t="shared" si="2"/>
        <v>92.666666666666671</v>
      </c>
      <c r="R29" s="5"/>
    </row>
    <row r="30" spans="1:18" x14ac:dyDescent="0.35">
      <c r="A30" s="4">
        <v>21</v>
      </c>
      <c r="B30" s="32" t="s">
        <v>70</v>
      </c>
      <c r="C30" s="31">
        <v>84</v>
      </c>
      <c r="D30" s="31">
        <v>88</v>
      </c>
      <c r="E30" s="6"/>
      <c r="F30" s="29"/>
      <c r="G30" s="29"/>
      <c r="H30" s="31">
        <v>90</v>
      </c>
      <c r="I30" s="31">
        <v>86</v>
      </c>
      <c r="J30" s="4"/>
      <c r="K30" s="4"/>
      <c r="L30" s="4"/>
      <c r="M30" s="27">
        <v>96</v>
      </c>
      <c r="N30" s="27">
        <f t="shared" si="0"/>
        <v>86</v>
      </c>
      <c r="O30" s="27">
        <f t="shared" si="1"/>
        <v>88</v>
      </c>
      <c r="P30" s="6">
        <f t="shared" si="2"/>
        <v>90</v>
      </c>
      <c r="R30" s="5"/>
    </row>
    <row r="31" spans="1:18" x14ac:dyDescent="0.35">
      <c r="A31" s="4">
        <v>22</v>
      </c>
      <c r="B31" s="32" t="s">
        <v>71</v>
      </c>
      <c r="C31" s="31">
        <v>86</v>
      </c>
      <c r="D31" s="31">
        <v>84</v>
      </c>
      <c r="E31" s="6"/>
      <c r="F31" s="29"/>
      <c r="G31" s="29"/>
      <c r="H31" s="31">
        <v>83</v>
      </c>
      <c r="I31" s="31">
        <v>87</v>
      </c>
      <c r="J31" s="4"/>
      <c r="K31" s="4"/>
      <c r="L31" s="4"/>
      <c r="M31" s="27">
        <v>95</v>
      </c>
      <c r="N31" s="27">
        <f t="shared" si="0"/>
        <v>85</v>
      </c>
      <c r="O31" s="27">
        <f t="shared" si="1"/>
        <v>85</v>
      </c>
      <c r="P31" s="6">
        <f t="shared" si="2"/>
        <v>88.333333333333329</v>
      </c>
      <c r="R31" s="5"/>
    </row>
    <row r="32" spans="1:18" x14ac:dyDescent="0.35">
      <c r="A32" s="3"/>
      <c r="Q32" s="3"/>
      <c r="R32" s="3"/>
    </row>
    <row r="34" spans="14:14" x14ac:dyDescent="0.35">
      <c r="N34" s="2" t="s">
        <v>97</v>
      </c>
    </row>
    <row r="35" spans="14:14" x14ac:dyDescent="0.35">
      <c r="N35" s="2" t="s">
        <v>13</v>
      </c>
    </row>
    <row r="36" spans="14:14" x14ac:dyDescent="0.35">
      <c r="N36" s="2"/>
    </row>
    <row r="37" spans="14:14" x14ac:dyDescent="0.35">
      <c r="N37" s="2"/>
    </row>
    <row r="38" spans="14:14" x14ac:dyDescent="0.35">
      <c r="N38" s="19" t="s">
        <v>98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tabSelected="1" zoomScale="71" zoomScaleNormal="53" workbookViewId="0">
      <selection activeCell="I6" sqref="I6"/>
    </sheetView>
  </sheetViews>
  <sheetFormatPr defaultRowHeight="14.5" x14ac:dyDescent="0.3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 x14ac:dyDescent="0.35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3"/>
      <c r="R1" s="3"/>
    </row>
    <row r="2" spans="1:18" ht="17.5" x14ac:dyDescent="0.35">
      <c r="A2" s="20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101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x14ac:dyDescent="0.35">
      <c r="A8" s="23" t="s">
        <v>2</v>
      </c>
      <c r="B8" s="24" t="s">
        <v>3</v>
      </c>
      <c r="C8" s="25" t="s">
        <v>25</v>
      </c>
      <c r="D8" s="25"/>
      <c r="E8" s="25"/>
      <c r="F8" s="25"/>
      <c r="G8" s="25"/>
      <c r="H8" s="26" t="s">
        <v>26</v>
      </c>
      <c r="I8" s="26"/>
      <c r="J8" s="26"/>
      <c r="K8" s="26"/>
      <c r="L8" s="26"/>
      <c r="M8" s="14" t="s">
        <v>9</v>
      </c>
      <c r="N8" s="21" t="s">
        <v>23</v>
      </c>
      <c r="O8" s="22"/>
      <c r="P8" s="10" t="s">
        <v>10</v>
      </c>
      <c r="R8" s="1" t="s">
        <v>16</v>
      </c>
    </row>
    <row r="9" spans="1:18" x14ac:dyDescent="0.35">
      <c r="A9" s="23"/>
      <c r="B9" s="24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 x14ac:dyDescent="0.35">
      <c r="A10" s="4">
        <v>1</v>
      </c>
      <c r="B10" s="32" t="s">
        <v>74</v>
      </c>
      <c r="C10" s="31">
        <v>100</v>
      </c>
      <c r="D10" s="31">
        <v>96</v>
      </c>
      <c r="E10" s="12"/>
      <c r="F10" s="28"/>
      <c r="G10" s="28"/>
      <c r="H10" s="31">
        <v>97</v>
      </c>
      <c r="I10" s="31">
        <v>93</v>
      </c>
      <c r="J10" s="13"/>
      <c r="K10" s="13"/>
      <c r="L10" s="13"/>
      <c r="M10" s="27">
        <v>99</v>
      </c>
      <c r="N10" s="27">
        <f>AVERAGE(C10:D10)</f>
        <v>98</v>
      </c>
      <c r="O10" s="27">
        <f>AVERAGE(H10:I10)</f>
        <v>95</v>
      </c>
      <c r="P10" s="6">
        <f>AVERAGE(M10:O10)</f>
        <v>97.333333333333329</v>
      </c>
      <c r="R10" s="2" t="s">
        <v>17</v>
      </c>
    </row>
    <row r="11" spans="1:18" x14ac:dyDescent="0.35">
      <c r="A11" s="4">
        <v>2</v>
      </c>
      <c r="B11" s="32" t="s">
        <v>75</v>
      </c>
      <c r="C11" s="31">
        <v>93</v>
      </c>
      <c r="D11" s="31">
        <v>97</v>
      </c>
      <c r="E11" s="6"/>
      <c r="F11" s="29"/>
      <c r="G11" s="29"/>
      <c r="H11" s="31">
        <v>94</v>
      </c>
      <c r="I11" s="31">
        <v>96</v>
      </c>
      <c r="J11" s="4"/>
      <c r="K11" s="4"/>
      <c r="L11" s="4"/>
      <c r="M11" s="27">
        <v>95</v>
      </c>
      <c r="N11" s="27">
        <f t="shared" ref="N11:N31" si="0">AVERAGE(C11:D11)</f>
        <v>95</v>
      </c>
      <c r="O11" s="27">
        <f t="shared" ref="O11:O31" si="1">AVERAGE(H11:I11)</f>
        <v>95</v>
      </c>
      <c r="P11" s="6">
        <f>AVERAGE(M11:O11)</f>
        <v>95</v>
      </c>
      <c r="R11" s="2" t="s">
        <v>19</v>
      </c>
    </row>
    <row r="12" spans="1:18" x14ac:dyDescent="0.35">
      <c r="A12" s="4">
        <v>3</v>
      </c>
      <c r="B12" s="32" t="s">
        <v>76</v>
      </c>
      <c r="C12" s="31">
        <v>85</v>
      </c>
      <c r="D12" s="31">
        <v>89</v>
      </c>
      <c r="E12" s="6"/>
      <c r="F12" s="29"/>
      <c r="G12" s="29"/>
      <c r="H12" s="31">
        <v>92</v>
      </c>
      <c r="I12" s="31">
        <v>88</v>
      </c>
      <c r="J12" s="4"/>
      <c r="K12" s="4"/>
      <c r="L12" s="4"/>
      <c r="M12" s="27">
        <v>95</v>
      </c>
      <c r="N12" s="27">
        <f t="shared" si="0"/>
        <v>87</v>
      </c>
      <c r="O12" s="27">
        <f t="shared" si="1"/>
        <v>90</v>
      </c>
      <c r="P12" s="6">
        <f>AVERAGE(M12:O12)</f>
        <v>90.666666666666671</v>
      </c>
      <c r="R12" s="2" t="s">
        <v>20</v>
      </c>
    </row>
    <row r="13" spans="1:18" x14ac:dyDescent="0.35">
      <c r="A13" s="4">
        <v>4</v>
      </c>
      <c r="B13" s="32" t="s">
        <v>77</v>
      </c>
      <c r="C13" s="31">
        <v>90</v>
      </c>
      <c r="D13" s="31">
        <v>86</v>
      </c>
      <c r="E13" s="6"/>
      <c r="F13" s="29"/>
      <c r="G13" s="29"/>
      <c r="H13" s="31">
        <v>85</v>
      </c>
      <c r="I13" s="31">
        <v>89</v>
      </c>
      <c r="J13" s="4"/>
      <c r="K13" s="4"/>
      <c r="L13" s="4"/>
      <c r="M13" s="27">
        <v>99</v>
      </c>
      <c r="N13" s="27">
        <f t="shared" si="0"/>
        <v>88</v>
      </c>
      <c r="O13" s="27">
        <f t="shared" si="1"/>
        <v>87</v>
      </c>
      <c r="P13" s="6">
        <f>AVERAGE(M13:O13)</f>
        <v>91.333333333333329</v>
      </c>
      <c r="R13" s="2" t="s">
        <v>21</v>
      </c>
    </row>
    <row r="14" spans="1:18" x14ac:dyDescent="0.35">
      <c r="A14" s="4">
        <v>5</v>
      </c>
      <c r="B14" s="32" t="s">
        <v>78</v>
      </c>
      <c r="C14" s="31">
        <v>50</v>
      </c>
      <c r="D14" s="31">
        <v>50</v>
      </c>
      <c r="E14" s="6"/>
      <c r="F14" s="29"/>
      <c r="G14" s="29"/>
      <c r="H14" s="31">
        <v>50</v>
      </c>
      <c r="I14" s="31">
        <v>50</v>
      </c>
      <c r="J14" s="4"/>
      <c r="K14" s="4"/>
      <c r="L14" s="4"/>
      <c r="M14" s="27">
        <v>50</v>
      </c>
      <c r="N14" s="27">
        <f t="shared" si="0"/>
        <v>50</v>
      </c>
      <c r="O14" s="27">
        <f t="shared" si="1"/>
        <v>50</v>
      </c>
      <c r="P14" s="6">
        <f>AVERAGE(M14:O14)</f>
        <v>50</v>
      </c>
      <c r="R14" s="2" t="s">
        <v>12</v>
      </c>
    </row>
    <row r="15" spans="1:18" x14ac:dyDescent="0.35">
      <c r="A15" s="4">
        <v>6</v>
      </c>
      <c r="B15" s="32" t="s">
        <v>95</v>
      </c>
      <c r="C15" s="31">
        <v>96</v>
      </c>
      <c r="D15" s="31">
        <v>94</v>
      </c>
      <c r="E15" s="6"/>
      <c r="F15" s="29"/>
      <c r="G15" s="29"/>
      <c r="H15" s="31">
        <v>88</v>
      </c>
      <c r="I15" s="31">
        <v>92</v>
      </c>
      <c r="J15" s="4"/>
      <c r="K15" s="4"/>
      <c r="L15" s="4"/>
      <c r="M15" s="27">
        <v>99</v>
      </c>
      <c r="N15" s="27">
        <f t="shared" si="0"/>
        <v>95</v>
      </c>
      <c r="O15" s="27">
        <f t="shared" si="1"/>
        <v>90</v>
      </c>
      <c r="P15" s="6">
        <f>AVERAGE(M15:O15)</f>
        <v>94.666666666666671</v>
      </c>
      <c r="R15" s="5"/>
    </row>
    <row r="16" spans="1:18" x14ac:dyDescent="0.35">
      <c r="A16" s="4">
        <v>7</v>
      </c>
      <c r="B16" s="32" t="s">
        <v>79</v>
      </c>
      <c r="C16" s="31">
        <v>97</v>
      </c>
      <c r="D16" s="31">
        <v>99</v>
      </c>
      <c r="E16" s="6"/>
      <c r="F16" s="29"/>
      <c r="G16" s="29"/>
      <c r="H16" s="31">
        <v>93</v>
      </c>
      <c r="I16" s="31">
        <v>97</v>
      </c>
      <c r="J16" s="4"/>
      <c r="K16" s="4"/>
      <c r="L16" s="4"/>
      <c r="M16" s="27">
        <v>98</v>
      </c>
      <c r="N16" s="27">
        <f t="shared" si="0"/>
        <v>98</v>
      </c>
      <c r="O16" s="27">
        <f t="shared" si="1"/>
        <v>95</v>
      </c>
      <c r="P16" s="6">
        <f>AVERAGE(M16:O16)</f>
        <v>97</v>
      </c>
      <c r="R16" s="5"/>
    </row>
    <row r="17" spans="1:18" x14ac:dyDescent="0.35">
      <c r="A17" s="4">
        <v>8</v>
      </c>
      <c r="B17" s="32" t="s">
        <v>80</v>
      </c>
      <c r="C17" s="31">
        <v>89</v>
      </c>
      <c r="D17" s="31">
        <v>85</v>
      </c>
      <c r="E17" s="6"/>
      <c r="F17" s="29"/>
      <c r="G17" s="29"/>
      <c r="H17" s="31">
        <v>48</v>
      </c>
      <c r="I17" s="31">
        <v>52</v>
      </c>
      <c r="J17" s="4"/>
      <c r="K17" s="4"/>
      <c r="L17" s="4"/>
      <c r="M17" s="27">
        <v>50</v>
      </c>
      <c r="N17" s="27">
        <f t="shared" si="0"/>
        <v>87</v>
      </c>
      <c r="O17" s="27">
        <f t="shared" si="1"/>
        <v>50</v>
      </c>
      <c r="P17" s="6">
        <f>AVERAGE(M17:O17)</f>
        <v>62.333333333333336</v>
      </c>
      <c r="R17" s="5"/>
    </row>
    <row r="18" spans="1:18" x14ac:dyDescent="0.35">
      <c r="A18" s="4">
        <v>9</v>
      </c>
      <c r="B18" s="32" t="s">
        <v>81</v>
      </c>
      <c r="C18" s="31">
        <v>86</v>
      </c>
      <c r="D18" s="31">
        <v>90</v>
      </c>
      <c r="E18" s="6"/>
      <c r="F18" s="29"/>
      <c r="G18" s="29"/>
      <c r="H18" s="31">
        <v>90</v>
      </c>
      <c r="I18" s="31">
        <v>90</v>
      </c>
      <c r="J18" s="4"/>
      <c r="K18" s="4"/>
      <c r="L18" s="4"/>
      <c r="M18" s="27">
        <v>98</v>
      </c>
      <c r="N18" s="27">
        <f t="shared" si="0"/>
        <v>88</v>
      </c>
      <c r="O18" s="27">
        <f t="shared" si="1"/>
        <v>90</v>
      </c>
      <c r="P18" s="6">
        <f>AVERAGE(M18:O18)</f>
        <v>92</v>
      </c>
      <c r="R18" s="5"/>
    </row>
    <row r="19" spans="1:18" x14ac:dyDescent="0.35">
      <c r="A19" s="4">
        <v>10</v>
      </c>
      <c r="B19" s="32" t="s">
        <v>82</v>
      </c>
      <c r="C19" s="31">
        <v>85</v>
      </c>
      <c r="D19" s="31">
        <v>89</v>
      </c>
      <c r="E19" s="6"/>
      <c r="F19" s="29"/>
      <c r="G19" s="29"/>
      <c r="H19" s="31">
        <v>50</v>
      </c>
      <c r="I19" s="31">
        <v>50</v>
      </c>
      <c r="J19" s="4"/>
      <c r="K19" s="4"/>
      <c r="L19" s="4"/>
      <c r="M19" s="27">
        <v>50</v>
      </c>
      <c r="N19" s="27">
        <f t="shared" si="0"/>
        <v>87</v>
      </c>
      <c r="O19" s="27">
        <f t="shared" si="1"/>
        <v>50</v>
      </c>
      <c r="P19" s="6">
        <f>AVERAGE(M19:O19)</f>
        <v>62.333333333333336</v>
      </c>
      <c r="R19" s="5"/>
    </row>
    <row r="20" spans="1:18" x14ac:dyDescent="0.35">
      <c r="A20" s="4">
        <v>11</v>
      </c>
      <c r="B20" s="32" t="s">
        <v>83</v>
      </c>
      <c r="C20" s="31">
        <v>48</v>
      </c>
      <c r="D20" s="31">
        <v>52</v>
      </c>
      <c r="E20" s="6"/>
      <c r="F20" s="29"/>
      <c r="G20" s="29"/>
      <c r="H20" s="31">
        <v>46</v>
      </c>
      <c r="I20" s="31">
        <v>54</v>
      </c>
      <c r="J20" s="4"/>
      <c r="K20" s="4"/>
      <c r="L20" s="4"/>
      <c r="M20" s="27">
        <v>50</v>
      </c>
      <c r="N20" s="27">
        <f t="shared" si="0"/>
        <v>50</v>
      </c>
      <c r="O20" s="27">
        <f t="shared" si="1"/>
        <v>50</v>
      </c>
      <c r="P20" s="6">
        <f>AVERAGE(M20:O20)</f>
        <v>50</v>
      </c>
      <c r="R20" s="5"/>
    </row>
    <row r="21" spans="1:18" x14ac:dyDescent="0.35">
      <c r="A21" s="4">
        <v>12</v>
      </c>
      <c r="B21" s="32" t="s">
        <v>84</v>
      </c>
      <c r="C21" s="31">
        <v>50</v>
      </c>
      <c r="D21" s="31">
        <v>50</v>
      </c>
      <c r="E21" s="6"/>
      <c r="F21" s="29"/>
      <c r="G21" s="29"/>
      <c r="H21" s="31">
        <v>50</v>
      </c>
      <c r="I21" s="31">
        <v>50</v>
      </c>
      <c r="J21" s="4"/>
      <c r="K21" s="4"/>
      <c r="L21" s="4"/>
      <c r="M21" s="27">
        <v>50</v>
      </c>
      <c r="N21" s="27">
        <f t="shared" si="0"/>
        <v>50</v>
      </c>
      <c r="O21" s="27">
        <f t="shared" si="1"/>
        <v>50</v>
      </c>
      <c r="P21" s="6">
        <f>AVERAGE(M21:O21)</f>
        <v>50</v>
      </c>
      <c r="R21" s="5"/>
    </row>
    <row r="22" spans="1:18" x14ac:dyDescent="0.35">
      <c r="A22" s="4">
        <v>13</v>
      </c>
      <c r="B22" s="32" t="s">
        <v>85</v>
      </c>
      <c r="C22" s="31">
        <v>94</v>
      </c>
      <c r="D22" s="31">
        <v>96</v>
      </c>
      <c r="E22" s="6"/>
      <c r="F22" s="29"/>
      <c r="G22" s="29"/>
      <c r="H22" s="31">
        <v>96</v>
      </c>
      <c r="I22" s="31">
        <v>94</v>
      </c>
      <c r="J22" s="4"/>
      <c r="K22" s="4"/>
      <c r="L22" s="4"/>
      <c r="M22" s="27">
        <v>99</v>
      </c>
      <c r="N22" s="27">
        <f t="shared" si="0"/>
        <v>95</v>
      </c>
      <c r="O22" s="27">
        <f t="shared" si="1"/>
        <v>95</v>
      </c>
      <c r="P22" s="6">
        <f>AVERAGE(M22:O22)</f>
        <v>96.333333333333329</v>
      </c>
      <c r="R22" s="5"/>
    </row>
    <row r="23" spans="1:18" x14ac:dyDescent="0.35">
      <c r="A23" s="4">
        <v>14</v>
      </c>
      <c r="B23" s="32" t="s">
        <v>86</v>
      </c>
      <c r="C23" s="31">
        <v>88</v>
      </c>
      <c r="D23" s="31">
        <v>88</v>
      </c>
      <c r="E23" s="6"/>
      <c r="F23" s="29"/>
      <c r="G23" s="29"/>
      <c r="H23" s="31">
        <v>83</v>
      </c>
      <c r="I23" s="31">
        <v>87</v>
      </c>
      <c r="J23" s="4"/>
      <c r="K23" s="4"/>
      <c r="L23" s="4"/>
      <c r="M23" s="27">
        <v>90</v>
      </c>
      <c r="N23" s="27">
        <f t="shared" si="0"/>
        <v>88</v>
      </c>
      <c r="O23" s="27">
        <f t="shared" si="1"/>
        <v>85</v>
      </c>
      <c r="P23" s="6">
        <f>AVERAGE(M23:O23)</f>
        <v>87.666666666666671</v>
      </c>
      <c r="R23" s="5"/>
    </row>
    <row r="24" spans="1:18" x14ac:dyDescent="0.35">
      <c r="A24" s="4">
        <v>15</v>
      </c>
      <c r="B24" s="32" t="s">
        <v>87</v>
      </c>
      <c r="C24" s="31">
        <v>100</v>
      </c>
      <c r="D24" s="31">
        <v>96</v>
      </c>
      <c r="E24" s="6"/>
      <c r="F24" s="29"/>
      <c r="G24" s="29"/>
      <c r="H24" s="31">
        <v>92</v>
      </c>
      <c r="I24" s="31">
        <v>88</v>
      </c>
      <c r="J24" s="4"/>
      <c r="K24" s="4"/>
      <c r="L24" s="4"/>
      <c r="M24" s="27">
        <v>99</v>
      </c>
      <c r="N24" s="27">
        <f t="shared" si="0"/>
        <v>98</v>
      </c>
      <c r="O24" s="27">
        <f t="shared" si="1"/>
        <v>90</v>
      </c>
      <c r="P24" s="6">
        <f>AVERAGE(M24:O24)</f>
        <v>95.666666666666671</v>
      </c>
      <c r="R24" s="5"/>
    </row>
    <row r="25" spans="1:18" x14ac:dyDescent="0.35">
      <c r="A25" s="4">
        <v>16</v>
      </c>
      <c r="B25" s="32" t="s">
        <v>88</v>
      </c>
      <c r="C25" s="31">
        <v>83</v>
      </c>
      <c r="D25" s="31">
        <v>87</v>
      </c>
      <c r="E25" s="6"/>
      <c r="F25" s="29"/>
      <c r="G25" s="29"/>
      <c r="H25" s="31">
        <v>58</v>
      </c>
      <c r="I25" s="31">
        <v>62</v>
      </c>
      <c r="J25" s="4"/>
      <c r="K25" s="4"/>
      <c r="L25" s="4"/>
      <c r="M25" s="27">
        <v>60</v>
      </c>
      <c r="N25" s="27">
        <f t="shared" si="0"/>
        <v>85</v>
      </c>
      <c r="O25" s="27">
        <f t="shared" si="1"/>
        <v>60</v>
      </c>
      <c r="P25" s="6">
        <f>AVERAGE(M25:O25)</f>
        <v>68.333333333333329</v>
      </c>
      <c r="R25" s="5"/>
    </row>
    <row r="26" spans="1:18" x14ac:dyDescent="0.35">
      <c r="A26" s="4">
        <v>17</v>
      </c>
      <c r="B26" s="32" t="s">
        <v>89</v>
      </c>
      <c r="C26" s="31">
        <v>97</v>
      </c>
      <c r="D26" s="31">
        <v>93</v>
      </c>
      <c r="E26" s="6"/>
      <c r="F26" s="29"/>
      <c r="G26" s="29"/>
      <c r="H26" s="31">
        <v>89</v>
      </c>
      <c r="I26" s="31">
        <v>91</v>
      </c>
      <c r="J26" s="4"/>
      <c r="K26" s="4"/>
      <c r="L26" s="4"/>
      <c r="M26" s="27">
        <v>98</v>
      </c>
      <c r="N26" s="27">
        <f t="shared" si="0"/>
        <v>95</v>
      </c>
      <c r="O26" s="27">
        <f t="shared" si="1"/>
        <v>90</v>
      </c>
      <c r="P26" s="6">
        <f>AVERAGE(M26:O26)</f>
        <v>94.333333333333329</v>
      </c>
      <c r="R26" s="5"/>
    </row>
    <row r="27" spans="1:18" x14ac:dyDescent="0.35">
      <c r="A27" s="4">
        <v>18</v>
      </c>
      <c r="B27" s="32" t="s">
        <v>90</v>
      </c>
      <c r="C27" s="31">
        <v>68</v>
      </c>
      <c r="D27" s="31">
        <v>72</v>
      </c>
      <c r="E27" s="6"/>
      <c r="F27" s="29"/>
      <c r="G27" s="29"/>
      <c r="H27" s="31">
        <v>50</v>
      </c>
      <c r="I27" s="31">
        <v>50</v>
      </c>
      <c r="J27" s="4"/>
      <c r="K27" s="4"/>
      <c r="L27" s="4"/>
      <c r="M27" s="27">
        <v>50</v>
      </c>
      <c r="N27" s="27">
        <f t="shared" si="0"/>
        <v>70</v>
      </c>
      <c r="O27" s="27">
        <f t="shared" si="1"/>
        <v>50</v>
      </c>
      <c r="P27" s="6">
        <f>AVERAGE(M27:O27)</f>
        <v>56.666666666666664</v>
      </c>
      <c r="R27" s="5"/>
    </row>
    <row r="28" spans="1:18" x14ac:dyDescent="0.35">
      <c r="A28" s="4">
        <v>19</v>
      </c>
      <c r="B28" s="32" t="s">
        <v>91</v>
      </c>
      <c r="C28" s="31">
        <v>99</v>
      </c>
      <c r="D28" s="31">
        <v>97</v>
      </c>
      <c r="E28" s="6"/>
      <c r="F28" s="29"/>
      <c r="G28" s="29"/>
      <c r="H28" s="31">
        <v>97</v>
      </c>
      <c r="I28" s="31">
        <v>93</v>
      </c>
      <c r="J28" s="4"/>
      <c r="K28" s="4"/>
      <c r="L28" s="4"/>
      <c r="M28" s="27">
        <v>99</v>
      </c>
      <c r="N28" s="27">
        <f t="shared" si="0"/>
        <v>98</v>
      </c>
      <c r="O28" s="27">
        <f t="shared" si="1"/>
        <v>95</v>
      </c>
      <c r="P28" s="6">
        <f>AVERAGE(M28:O28)</f>
        <v>97.333333333333329</v>
      </c>
      <c r="R28" s="5"/>
    </row>
    <row r="29" spans="1:18" x14ac:dyDescent="0.35">
      <c r="A29" s="4">
        <v>20</v>
      </c>
      <c r="B29" s="32" t="s">
        <v>92</v>
      </c>
      <c r="C29" s="31">
        <v>93</v>
      </c>
      <c r="D29" s="31">
        <v>97</v>
      </c>
      <c r="E29" s="6"/>
      <c r="F29" s="29"/>
      <c r="G29" s="29"/>
      <c r="H29" s="31">
        <v>91</v>
      </c>
      <c r="I29" s="31">
        <v>95</v>
      </c>
      <c r="J29" s="4"/>
      <c r="K29" s="4"/>
      <c r="L29" s="4"/>
      <c r="M29" s="27">
        <v>99</v>
      </c>
      <c r="N29" s="27">
        <f t="shared" si="0"/>
        <v>95</v>
      </c>
      <c r="O29" s="27">
        <f t="shared" si="1"/>
        <v>93</v>
      </c>
      <c r="P29" s="6">
        <f>AVERAGE(M29:O29)</f>
        <v>95.666666666666671</v>
      </c>
      <c r="R29" s="5"/>
    </row>
    <row r="30" spans="1:18" x14ac:dyDescent="0.35">
      <c r="A30" s="4">
        <v>21</v>
      </c>
      <c r="B30" s="32" t="s">
        <v>93</v>
      </c>
      <c r="C30" s="31">
        <v>96</v>
      </c>
      <c r="D30" s="31">
        <v>100</v>
      </c>
      <c r="E30" s="6"/>
      <c r="F30" s="29"/>
      <c r="G30" s="29"/>
      <c r="H30" s="31">
        <v>94</v>
      </c>
      <c r="I30" s="31">
        <v>96</v>
      </c>
      <c r="J30" s="4"/>
      <c r="K30" s="4"/>
      <c r="L30" s="4"/>
      <c r="M30" s="27">
        <v>98</v>
      </c>
      <c r="N30" s="27">
        <f t="shared" si="0"/>
        <v>98</v>
      </c>
      <c r="O30" s="27">
        <f t="shared" si="1"/>
        <v>95</v>
      </c>
      <c r="P30" s="6">
        <f>AVERAGE(M30:O30)</f>
        <v>97</v>
      </c>
      <c r="R30" s="5"/>
    </row>
    <row r="31" spans="1:18" x14ac:dyDescent="0.35">
      <c r="A31" s="4">
        <v>22</v>
      </c>
      <c r="B31" s="32" t="s">
        <v>94</v>
      </c>
      <c r="C31" s="31">
        <v>90</v>
      </c>
      <c r="D31" s="31">
        <v>86</v>
      </c>
      <c r="E31" s="6"/>
      <c r="F31" s="29"/>
      <c r="G31" s="29"/>
      <c r="H31" s="31">
        <v>87</v>
      </c>
      <c r="I31" s="31">
        <v>83</v>
      </c>
      <c r="J31" s="4"/>
      <c r="K31" s="4"/>
      <c r="L31" s="4"/>
      <c r="M31" s="27">
        <v>90</v>
      </c>
      <c r="N31" s="27">
        <f t="shared" si="0"/>
        <v>88</v>
      </c>
      <c r="O31" s="27">
        <f t="shared" si="1"/>
        <v>85</v>
      </c>
      <c r="P31" s="6">
        <f>AVERAGE(M31:O31)</f>
        <v>87.666666666666671</v>
      </c>
      <c r="R31" s="5"/>
    </row>
    <row r="32" spans="1:18" x14ac:dyDescent="0.35">
      <c r="A32" s="3"/>
      <c r="Q32" s="3"/>
      <c r="R32" s="3"/>
    </row>
    <row r="34" spans="14:14" x14ac:dyDescent="0.35">
      <c r="N34" s="2" t="s">
        <v>97</v>
      </c>
    </row>
    <row r="35" spans="14:14" x14ac:dyDescent="0.35">
      <c r="N35" s="2" t="s">
        <v>13</v>
      </c>
    </row>
    <row r="36" spans="14:14" x14ac:dyDescent="0.35">
      <c r="N36" s="2"/>
    </row>
    <row r="37" spans="14:14" x14ac:dyDescent="0.35">
      <c r="N37" s="2"/>
    </row>
    <row r="38" spans="14:14" x14ac:dyDescent="0.35">
      <c r="N38" s="19" t="s">
        <v>98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 INTAN</vt:lpstr>
      <vt:lpstr>8 KYANITE</vt:lpstr>
      <vt:lpstr>8 SAFIR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Luthfia Chairunnisa</dc:creator>
  <cp:lastModifiedBy>Mardiatul Hasanah</cp:lastModifiedBy>
  <dcterms:created xsi:type="dcterms:W3CDTF">2022-12-13T01:59:23Z</dcterms:created>
  <dcterms:modified xsi:type="dcterms:W3CDTF">2026-10-13T08:28:21Z</dcterms:modified>
</cp:coreProperties>
</file>