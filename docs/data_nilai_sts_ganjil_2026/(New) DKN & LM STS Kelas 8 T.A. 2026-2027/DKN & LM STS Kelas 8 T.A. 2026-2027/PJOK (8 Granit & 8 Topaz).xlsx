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DKN\"/>
    </mc:Choice>
  </mc:AlternateContent>
  <xr:revisionPtr revIDLastSave="0" documentId="13_ncr:1_{570323A4-DAD4-43F1-8502-B46A7B8B053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ranit" sheetId="9" r:id="rId1"/>
    <sheet name="Topaz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4" i="10" l="1"/>
  <c r="P43" i="10"/>
  <c r="P41" i="10"/>
  <c r="O41" i="10"/>
  <c r="N41" i="10"/>
  <c r="P40" i="10"/>
  <c r="O40" i="10"/>
  <c r="N40" i="10"/>
  <c r="O39" i="10"/>
  <c r="N39" i="10"/>
  <c r="P39" i="10" s="1"/>
  <c r="O38" i="10"/>
  <c r="N38" i="10"/>
  <c r="P38" i="10" s="1"/>
  <c r="P37" i="10"/>
  <c r="O37" i="10"/>
  <c r="N37" i="10"/>
  <c r="P36" i="10"/>
  <c r="O36" i="10"/>
  <c r="N36" i="10"/>
  <c r="O35" i="10"/>
  <c r="N35" i="10"/>
  <c r="P35" i="10" s="1"/>
  <c r="O34" i="10"/>
  <c r="N34" i="10"/>
  <c r="P34" i="10" s="1"/>
  <c r="P33" i="10"/>
  <c r="O33" i="10"/>
  <c r="N33" i="10"/>
  <c r="P32" i="10"/>
  <c r="O32" i="10"/>
  <c r="N32" i="10"/>
  <c r="O31" i="10"/>
  <c r="N31" i="10"/>
  <c r="P31" i="10" s="1"/>
  <c r="O30" i="10"/>
  <c r="N30" i="10"/>
  <c r="P30" i="10" s="1"/>
  <c r="P29" i="10"/>
  <c r="O29" i="10"/>
  <c r="N29" i="10"/>
  <c r="P28" i="10"/>
  <c r="O28" i="10"/>
  <c r="N28" i="10"/>
  <c r="O27" i="10"/>
  <c r="N27" i="10"/>
  <c r="P27" i="10" s="1"/>
  <c r="O26" i="10"/>
  <c r="N26" i="10"/>
  <c r="P26" i="10" s="1"/>
  <c r="P25" i="10"/>
  <c r="O25" i="10"/>
  <c r="N25" i="10"/>
  <c r="P24" i="10"/>
  <c r="O24" i="10"/>
  <c r="N24" i="10"/>
  <c r="O23" i="10"/>
  <c r="N23" i="10"/>
  <c r="P23" i="10" s="1"/>
  <c r="O22" i="10"/>
  <c r="N22" i="10"/>
  <c r="P22" i="10" s="1"/>
  <c r="P21" i="10"/>
  <c r="O21" i="10"/>
  <c r="N21" i="10"/>
  <c r="P20" i="10"/>
  <c r="O20" i="10"/>
  <c r="N20" i="10"/>
  <c r="O19" i="10"/>
  <c r="N19" i="10"/>
  <c r="P19" i="10" s="1"/>
  <c r="O18" i="10"/>
  <c r="N18" i="10"/>
  <c r="P18" i="10" s="1"/>
  <c r="P17" i="10"/>
  <c r="O17" i="10"/>
  <c r="N17" i="10"/>
  <c r="P16" i="10"/>
  <c r="O16" i="10"/>
  <c r="N16" i="10"/>
  <c r="O15" i="10"/>
  <c r="N15" i="10"/>
  <c r="P15" i="10" s="1"/>
  <c r="O14" i="10"/>
  <c r="N14" i="10"/>
  <c r="P14" i="10" s="1"/>
  <c r="P13" i="10"/>
  <c r="O13" i="10"/>
  <c r="N13" i="10"/>
  <c r="P12" i="10"/>
  <c r="O12" i="10"/>
  <c r="N12" i="10"/>
  <c r="O11" i="10"/>
  <c r="N11" i="10"/>
  <c r="P11" i="10" s="1"/>
  <c r="O10" i="10"/>
  <c r="N10" i="10"/>
  <c r="P10" i="10" s="1"/>
  <c r="O11" i="9" l="1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10" i="9"/>
  <c r="N10" i="9"/>
  <c r="N11" i="9"/>
  <c r="P11" i="9" s="1"/>
  <c r="N12" i="9"/>
  <c r="P12" i="9" s="1"/>
  <c r="N13" i="9"/>
  <c r="P13" i="9" s="1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P36" i="9" s="1"/>
  <c r="N37" i="9"/>
  <c r="P37" i="9" s="1"/>
  <c r="N38" i="9"/>
  <c r="P38" i="9" s="1"/>
  <c r="N39" i="9"/>
  <c r="P39" i="9" s="1"/>
  <c r="N40" i="9"/>
  <c r="P40" i="9" s="1"/>
  <c r="N41" i="9"/>
  <c r="P41" i="9" s="1"/>
  <c r="P43" i="9"/>
  <c r="P44" i="9"/>
  <c r="P14" i="9" l="1"/>
  <c r="P15" i="9"/>
  <c r="P16" i="9"/>
  <c r="P18" i="9"/>
  <c r="P17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10" i="9"/>
</calcChain>
</file>

<file path=xl/sharedStrings.xml><?xml version="1.0" encoding="utf-8"?>
<sst xmlns="http://schemas.openxmlformats.org/spreadsheetml/2006/main" count="140" uniqueCount="64">
  <si>
    <t xml:space="preserve">KELAS </t>
  </si>
  <si>
    <t>MATA PELAJARAN</t>
  </si>
  <si>
    <t>NO</t>
  </si>
  <si>
    <t xml:space="preserve">NAMA </t>
  </si>
  <si>
    <t>LM 1</t>
  </si>
  <si>
    <t>LM 2</t>
  </si>
  <si>
    <t>LM3</t>
  </si>
  <si>
    <t>LM4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</si>
  <si>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</si>
  <si>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</si>
  <si>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</si>
  <si>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</si>
  <si>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</si>
  <si>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</si>
  <si>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</si>
  <si>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</si>
  <si>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</si>
  <si>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</si>
  <si>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</si>
  <si>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</si>
  <si>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</si>
  <si>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</si>
  <si>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Medan,     Januari 2026</t>
  </si>
  <si>
    <t>STS</t>
  </si>
  <si>
    <t>RATA-RATA</t>
  </si>
  <si>
    <t>LM5</t>
  </si>
  <si>
    <t>FORMATIF / NH</t>
  </si>
  <si>
    <t>FORMATIF / UH</t>
  </si>
  <si>
    <t>NH</t>
  </si>
  <si>
    <t>UH</t>
  </si>
  <si>
    <t xml:space="preserve">: </t>
  </si>
  <si>
    <t>_________________________</t>
  </si>
  <si>
    <t>Abid Zuhair</t>
  </si>
  <si>
    <t>AHMAD OKA AL FATIH</t>
  </si>
  <si>
    <t>AHYA MAULIDAN</t>
  </si>
  <si>
    <t>AKIL ZAYDAN RAHMANA</t>
  </si>
  <si>
    <t>Arga Reyhan Bahari</t>
  </si>
  <si>
    <t>ARKAAN FAIZ</t>
  </si>
  <si>
    <t>ARYAN IHTISYAM ADHA</t>
  </si>
  <si>
    <t>AUFAR ALFARIZI</t>
  </si>
  <si>
    <t>BARIQ HIJRI AKBAR</t>
  </si>
  <si>
    <t>DAFFI AZMI</t>
  </si>
  <si>
    <t>ELKAN ABSANA TANJUNG</t>
  </si>
  <si>
    <t>Fahrian Haikal Ginting</t>
  </si>
  <si>
    <t>FATHIN ASY - SYAUQI</t>
  </si>
  <si>
    <t>FATIH ELKARIM</t>
  </si>
  <si>
    <t>ISBAH FAJAR HAFIZ</t>
  </si>
  <si>
    <t>KHADAFFI ANWAR</t>
  </si>
  <si>
    <t>M RAFA ALKHALISH</t>
  </si>
  <si>
    <t>Muhammad Akbar Wijaya</t>
  </si>
  <si>
    <t>MUHAMMAD AZZAM LATHIF</t>
  </si>
  <si>
    <t>MUHAMMAD DAFA YUSNAN</t>
  </si>
  <si>
    <t>Muhammad Imam Ashari</t>
  </si>
  <si>
    <t>MUHAMMAD RABBANI ATTHORIQ</t>
  </si>
  <si>
    <t>Muhammad Radhin Alfattah</t>
  </si>
  <si>
    <t>MUHAMMAD RIYAADH SARAGIH</t>
  </si>
  <si>
    <t>MUHAMMAD RIZQI FA'IQ ANANDA</t>
  </si>
  <si>
    <t>Naufal Zidan Gunawan</t>
  </si>
  <si>
    <t>OZIL ARRIZKY BUSRA</t>
  </si>
  <si>
    <t>RIDHO HAMDAN</t>
  </si>
  <si>
    <t>RIVALDO ZEIN MASIHOR</t>
  </si>
  <si>
    <t>RIZKY ANRA ALFAEYZA</t>
  </si>
  <si>
    <t>TAHER SULO</t>
  </si>
  <si>
    <t>ZOEVANO DANENDRA ZAVIERI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</si>
</sst>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0" fontId="0" fillId="3" borderId="1" xfId="0" applyFill="1" applyBorder="1"/>
    <xf numFmtId="1" fontId="4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1" xfId="0" applyBorder="1"/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1D79AC1F-84D7-4D60-AD4A-CC49CBEEF579}"/>
    <cellStyle name="Normal 3" xfId="2" xr:uid="{EECA482B-95FE-400C-AD25-99217767CCA3}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9A72-FAE7-4736-9064-8ECBF2E2B5C9}">
  <dimension ref="A1:AA51"/>
  <sheetViews>
    <sheetView topLeftCell="A8" zoomScale="50" zoomScaleNormal="50" workbookViewId="0">
      <selection activeCell="B20" sqref="B20"/>
    </sheetView>
  </sheetViews>
  <sheetFormatPr defaultRowHeight="14.5" x14ac:dyDescent="0.35"/>
  <cols>
    <col min="2" max="2" width="40.17968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54296875" customWidth="1"/>
    <col min="25" max="25" width="28.36328125" customWidth="1"/>
  </cols>
  <sheetData>
    <row r="1" spans="1:18" ht="17.5" x14ac:dyDescent="0.35">
      <c r="A1" s="24" t="s">
        <v>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3"/>
      <c r="R1" s="3"/>
    </row>
    <row r="2" spans="1:18" ht="17.5" x14ac:dyDescent="0.35">
      <c r="A2" s="24" t="s">
        <v>14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3"/>
      <c r="R2" s="3"/>
    </row>
    <row r="3" spans="1:18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2" t="s">
        <v>0</v>
      </c>
      <c r="B4" s="3"/>
      <c r="C4" s="2" t="s">
        <v>30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35">
      <c r="A5" s="2" t="s">
        <v>1</v>
      </c>
      <c r="B5" s="3"/>
      <c r="C5" s="2" t="s">
        <v>30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5">
      <c r="A6" s="2" t="s">
        <v>15</v>
      </c>
      <c r="B6" s="3"/>
      <c r="C6" s="2" t="s">
        <v>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 customHeight="1" x14ac:dyDescent="0.35">
      <c r="A8" s="27" t="s">
        <v>2</v>
      </c>
      <c r="B8" s="28" t="s">
        <v>3</v>
      </c>
      <c r="C8" s="29" t="s">
        <v>26</v>
      </c>
      <c r="D8" s="29"/>
      <c r="E8" s="29"/>
      <c r="F8" s="29"/>
      <c r="G8" s="29"/>
      <c r="H8" s="30" t="s">
        <v>27</v>
      </c>
      <c r="I8" s="30"/>
      <c r="J8" s="30"/>
      <c r="K8" s="30"/>
      <c r="L8" s="30"/>
      <c r="M8" s="20" t="s">
        <v>9</v>
      </c>
      <c r="N8" s="25" t="s">
        <v>24</v>
      </c>
      <c r="O8" s="26"/>
      <c r="P8" s="15" t="s">
        <v>10</v>
      </c>
      <c r="R8" s="1" t="s">
        <v>16</v>
      </c>
    </row>
    <row r="9" spans="1:18" ht="14.5" customHeight="1" x14ac:dyDescent="0.35">
      <c r="A9" s="27"/>
      <c r="B9" s="28"/>
      <c r="C9" s="12" t="s">
        <v>4</v>
      </c>
      <c r="D9" s="12" t="s">
        <v>5</v>
      </c>
      <c r="E9" s="12" t="s">
        <v>6</v>
      </c>
      <c r="F9" s="12" t="s">
        <v>7</v>
      </c>
      <c r="G9" s="12" t="s">
        <v>25</v>
      </c>
      <c r="H9" s="13" t="s">
        <v>4</v>
      </c>
      <c r="I9" s="13" t="s">
        <v>8</v>
      </c>
      <c r="J9" s="13" t="s">
        <v>6</v>
      </c>
      <c r="K9" s="13" t="s">
        <v>7</v>
      </c>
      <c r="L9" s="13" t="s">
        <v>25</v>
      </c>
      <c r="M9" s="20" t="s">
        <v>23</v>
      </c>
      <c r="N9" s="14" t="s">
        <v>28</v>
      </c>
      <c r="O9" s="14" t="s">
        <v>29</v>
      </c>
      <c r="P9" s="16"/>
      <c r="R9" s="2" t="s">
        <v>11</v>
      </c>
    </row>
    <row r="10" spans="1:18" x14ac:dyDescent="0.35">
      <c r="A10" s="5">
        <v>1</v>
      </c>
      <c r="B10" t="s">
        <v>32</v>
      </c>
      <c r="C10" s="21">
        <v>83</v>
      </c>
      <c r="D10" s="21">
        <v>85</v>
      </c>
      <c r="E10" s="17"/>
      <c r="F10" s="18"/>
      <c r="G10" s="18"/>
      <c r="H10" s="21">
        <v>84</v>
      </c>
      <c r="I10" s="21">
        <v>88</v>
      </c>
      <c r="J10" s="19"/>
      <c r="K10" s="19"/>
      <c r="L10" s="19"/>
      <c r="M10" s="21">
        <v>51</v>
      </c>
      <c r="N10" s="17">
        <f>AVERAGE(C10:D42)</f>
        <v>84.421875</v>
      </c>
      <c r="O10" s="17">
        <f>AVERAGE(H10:I42)</f>
        <v>85.625</v>
      </c>
      <c r="P10" s="8">
        <f>(M10*30/100)+(N10*35/100)+(O10*35/100)</f>
        <v>74.81640625</v>
      </c>
      <c r="R10" s="2" t="s">
        <v>17</v>
      </c>
    </row>
    <row r="11" spans="1:18" x14ac:dyDescent="0.35">
      <c r="A11" s="5">
        <v>2</v>
      </c>
      <c r="B11" t="s">
        <v>33</v>
      </c>
      <c r="C11" s="21">
        <v>83</v>
      </c>
      <c r="D11" s="21">
        <v>86</v>
      </c>
      <c r="E11" s="8"/>
      <c r="F11" s="7"/>
      <c r="G11" s="7"/>
      <c r="H11" s="21">
        <v>84</v>
      </c>
      <c r="I11" s="21">
        <v>86</v>
      </c>
      <c r="J11" s="5"/>
      <c r="K11" s="5"/>
      <c r="L11" s="5"/>
      <c r="M11" s="21">
        <v>91</v>
      </c>
      <c r="N11" s="17">
        <f t="shared" ref="N11:N41" si="0">AVERAGE(C11:D43)</f>
        <v>84.435483870967744</v>
      </c>
      <c r="O11" s="17">
        <f t="shared" ref="O11:O41" si="1">AVERAGE(H11:I43)</f>
        <v>85.612903225806448</v>
      </c>
      <c r="P11" s="8">
        <f t="shared" ref="P11:P44" si="2">(M11*30/100)+(N11*35/100)+(O11*35/100)</f>
        <v>86.816935483870978</v>
      </c>
      <c r="R11" s="2" t="s">
        <v>19</v>
      </c>
    </row>
    <row r="12" spans="1:18" x14ac:dyDescent="0.35">
      <c r="A12" s="5">
        <v>3</v>
      </c>
      <c r="B12" t="s">
        <v>34</v>
      </c>
      <c r="C12" s="21">
        <v>83</v>
      </c>
      <c r="D12" s="21">
        <v>84</v>
      </c>
      <c r="E12" s="8"/>
      <c r="F12" s="7"/>
      <c r="G12" s="7"/>
      <c r="H12" s="21">
        <v>82</v>
      </c>
      <c r="I12" s="21">
        <v>84</v>
      </c>
      <c r="J12" s="5"/>
      <c r="K12" s="5"/>
      <c r="L12" s="5"/>
      <c r="M12" s="21">
        <v>42</v>
      </c>
      <c r="N12" s="17">
        <f t="shared" si="0"/>
        <v>84.433333333333337</v>
      </c>
      <c r="O12" s="17">
        <f t="shared" si="1"/>
        <v>85.63333333333334</v>
      </c>
      <c r="P12" s="8">
        <f t="shared" si="2"/>
        <v>72.123333333333335</v>
      </c>
      <c r="R12" s="2" t="s">
        <v>20</v>
      </c>
    </row>
    <row r="13" spans="1:18" x14ac:dyDescent="0.35">
      <c r="A13" s="5">
        <v>4</v>
      </c>
      <c r="B13" t="s">
        <v>35</v>
      </c>
      <c r="C13" s="21">
        <v>84</v>
      </c>
      <c r="D13" s="21">
        <v>86</v>
      </c>
      <c r="E13" s="8"/>
      <c r="F13" s="7"/>
      <c r="G13" s="7"/>
      <c r="H13" s="21">
        <v>85</v>
      </c>
      <c r="I13" s="21">
        <v>88</v>
      </c>
      <c r="J13" s="5"/>
      <c r="K13" s="5"/>
      <c r="L13" s="5"/>
      <c r="M13" s="21">
        <v>97</v>
      </c>
      <c r="N13" s="17">
        <f t="shared" si="0"/>
        <v>84.465517241379317</v>
      </c>
      <c r="O13" s="17">
        <f t="shared" si="1"/>
        <v>85.724137931034477</v>
      </c>
      <c r="P13" s="8">
        <f t="shared" si="2"/>
        <v>88.666379310344837</v>
      </c>
      <c r="R13" s="2" t="s">
        <v>21</v>
      </c>
    </row>
    <row r="14" spans="1:18" x14ac:dyDescent="0.35">
      <c r="A14" s="5">
        <v>5</v>
      </c>
      <c r="B14" t="s">
        <v>36</v>
      </c>
      <c r="C14" s="21">
        <v>83</v>
      </c>
      <c r="D14" s="21">
        <v>86</v>
      </c>
      <c r="E14" s="8"/>
      <c r="F14" s="7"/>
      <c r="G14" s="7"/>
      <c r="H14" s="21">
        <v>85</v>
      </c>
      <c r="I14" s="21">
        <v>88</v>
      </c>
      <c r="J14" s="5"/>
      <c r="K14" s="5"/>
      <c r="L14" s="5"/>
      <c r="M14" s="21">
        <v>80</v>
      </c>
      <c r="N14" s="17">
        <f t="shared" si="0"/>
        <v>84.446428571428569</v>
      </c>
      <c r="O14" s="17">
        <f t="shared" si="1"/>
        <v>85.696428571428569</v>
      </c>
      <c r="P14" s="8">
        <f t="shared" si="2"/>
        <v>83.55</v>
      </c>
      <c r="R14" s="2" t="s">
        <v>12</v>
      </c>
    </row>
    <row r="15" spans="1:18" x14ac:dyDescent="0.35">
      <c r="A15" s="5">
        <v>6</v>
      </c>
      <c r="B15" t="s">
        <v>37</v>
      </c>
      <c r="C15" s="21">
        <v>83</v>
      </c>
      <c r="D15" s="21">
        <v>86</v>
      </c>
      <c r="E15" s="8"/>
      <c r="F15" s="7"/>
      <c r="G15" s="7"/>
      <c r="H15" s="21">
        <v>85</v>
      </c>
      <c r="I15" s="21">
        <v>88</v>
      </c>
      <c r="J15" s="5"/>
      <c r="K15" s="5"/>
      <c r="L15" s="5"/>
      <c r="M15" s="21">
        <v>44</v>
      </c>
      <c r="N15" s="17">
        <f t="shared" si="0"/>
        <v>84.444444444444443</v>
      </c>
      <c r="O15" s="17">
        <f t="shared" si="1"/>
        <v>85.666666666666671</v>
      </c>
      <c r="P15" s="8">
        <f t="shared" si="2"/>
        <v>72.738888888888894</v>
      </c>
      <c r="R15" s="6"/>
    </row>
    <row r="16" spans="1:18" x14ac:dyDescent="0.35">
      <c r="A16" s="5">
        <v>7</v>
      </c>
      <c r="B16" t="s">
        <v>38</v>
      </c>
      <c r="C16" s="21">
        <v>83</v>
      </c>
      <c r="D16" s="21">
        <v>86</v>
      </c>
      <c r="E16" s="8"/>
      <c r="F16" s="7"/>
      <c r="G16" s="7"/>
      <c r="H16" s="21">
        <v>85</v>
      </c>
      <c r="I16" s="21">
        <v>88</v>
      </c>
      <c r="J16" s="5"/>
      <c r="K16" s="5"/>
      <c r="L16" s="5"/>
      <c r="M16" s="21">
        <v>82</v>
      </c>
      <c r="N16" s="17">
        <f t="shared" si="0"/>
        <v>84.442307692307693</v>
      </c>
      <c r="O16" s="17">
        <f t="shared" si="1"/>
        <v>85.634615384615387</v>
      </c>
      <c r="P16" s="8">
        <f t="shared" si="2"/>
        <v>84.126923076923077</v>
      </c>
      <c r="R16" s="6"/>
    </row>
    <row r="17" spans="1:18" x14ac:dyDescent="0.35">
      <c r="A17" s="5">
        <v>8</v>
      </c>
      <c r="B17" t="s">
        <v>39</v>
      </c>
      <c r="C17" s="21">
        <v>84</v>
      </c>
      <c r="D17" s="21">
        <v>86</v>
      </c>
      <c r="E17" s="8"/>
      <c r="F17" s="7"/>
      <c r="G17" s="7"/>
      <c r="H17" s="21">
        <v>85</v>
      </c>
      <c r="I17" s="21">
        <v>88</v>
      </c>
      <c r="J17" s="5"/>
      <c r="K17" s="5"/>
      <c r="L17" s="5"/>
      <c r="M17" s="21">
        <v>97</v>
      </c>
      <c r="N17" s="17">
        <f t="shared" si="0"/>
        <v>84.44</v>
      </c>
      <c r="O17" s="17">
        <f t="shared" si="1"/>
        <v>85.6</v>
      </c>
      <c r="P17" s="8">
        <f t="shared" si="2"/>
        <v>88.614000000000004</v>
      </c>
      <c r="R17" s="6"/>
    </row>
    <row r="18" spans="1:18" x14ac:dyDescent="0.35">
      <c r="A18" s="5">
        <v>9</v>
      </c>
      <c r="B18" t="s">
        <v>40</v>
      </c>
      <c r="C18" s="21">
        <v>82</v>
      </c>
      <c r="D18" s="21">
        <v>84</v>
      </c>
      <c r="E18" s="8"/>
      <c r="F18" s="7"/>
      <c r="G18" s="7"/>
      <c r="H18" s="21">
        <v>83</v>
      </c>
      <c r="I18" s="21">
        <v>86</v>
      </c>
      <c r="J18" s="5"/>
      <c r="K18" s="5"/>
      <c r="L18" s="5"/>
      <c r="M18" s="21">
        <v>47</v>
      </c>
      <c r="N18" s="17">
        <f t="shared" si="0"/>
        <v>84.416666666666671</v>
      </c>
      <c r="O18" s="17">
        <f t="shared" si="1"/>
        <v>85.5625</v>
      </c>
      <c r="P18" s="8">
        <f t="shared" si="2"/>
        <v>73.592708333333334</v>
      </c>
      <c r="R18" s="6"/>
    </row>
    <row r="19" spans="1:18" x14ac:dyDescent="0.35">
      <c r="A19" s="5">
        <v>10</v>
      </c>
      <c r="B19" t="s">
        <v>41</v>
      </c>
      <c r="C19" s="21">
        <v>83</v>
      </c>
      <c r="D19" s="21">
        <v>86</v>
      </c>
      <c r="E19" s="8"/>
      <c r="F19" s="7"/>
      <c r="G19" s="7"/>
      <c r="H19" s="21">
        <v>85</v>
      </c>
      <c r="I19" s="21">
        <v>88</v>
      </c>
      <c r="J19" s="5"/>
      <c r="K19" s="5"/>
      <c r="L19" s="5"/>
      <c r="M19" s="21">
        <v>97</v>
      </c>
      <c r="N19" s="17">
        <f t="shared" si="0"/>
        <v>84.478260869565219</v>
      </c>
      <c r="O19" s="17">
        <f t="shared" si="1"/>
        <v>85.608695652173907</v>
      </c>
      <c r="P19" s="8">
        <f t="shared" si="2"/>
        <v>88.630434782608688</v>
      </c>
      <c r="R19" s="6"/>
    </row>
    <row r="20" spans="1:18" x14ac:dyDescent="0.35">
      <c r="A20" s="5">
        <v>11</v>
      </c>
      <c r="B20" t="s">
        <v>42</v>
      </c>
      <c r="C20" s="21">
        <v>84</v>
      </c>
      <c r="D20" s="21">
        <v>86</v>
      </c>
      <c r="E20" s="8"/>
      <c r="F20" s="7"/>
      <c r="G20" s="7"/>
      <c r="H20" s="21">
        <v>85</v>
      </c>
      <c r="I20" s="21">
        <v>87</v>
      </c>
      <c r="J20" s="5"/>
      <c r="K20" s="5"/>
      <c r="L20" s="5"/>
      <c r="M20" s="21">
        <v>72</v>
      </c>
      <c r="N20" s="17">
        <f t="shared" si="0"/>
        <v>84.477272727272734</v>
      </c>
      <c r="O20" s="17">
        <f t="shared" si="1"/>
        <v>85.568181818181813</v>
      </c>
      <c r="P20" s="8">
        <f t="shared" si="2"/>
        <v>81.115909090909099</v>
      </c>
      <c r="R20" s="6"/>
    </row>
    <row r="21" spans="1:18" x14ac:dyDescent="0.35">
      <c r="A21" s="5">
        <v>12</v>
      </c>
      <c r="B21" t="s">
        <v>43</v>
      </c>
      <c r="C21" s="21">
        <v>83</v>
      </c>
      <c r="D21" s="21">
        <v>85</v>
      </c>
      <c r="E21" s="8"/>
      <c r="F21" s="7"/>
      <c r="G21" s="7"/>
      <c r="H21" s="21">
        <v>82</v>
      </c>
      <c r="I21" s="21">
        <v>84</v>
      </c>
      <c r="J21" s="5"/>
      <c r="K21" s="5"/>
      <c r="L21" s="5"/>
      <c r="M21" s="21">
        <v>39</v>
      </c>
      <c r="N21" s="17">
        <f t="shared" si="0"/>
        <v>84.452380952380949</v>
      </c>
      <c r="O21" s="17">
        <f t="shared" si="1"/>
        <v>85.547619047619051</v>
      </c>
      <c r="P21" s="8">
        <f t="shared" si="2"/>
        <v>71.199999999999989</v>
      </c>
      <c r="R21" s="6"/>
    </row>
    <row r="22" spans="1:18" x14ac:dyDescent="0.35">
      <c r="A22" s="5">
        <v>13</v>
      </c>
      <c r="B22" t="s">
        <v>44</v>
      </c>
      <c r="C22" s="21">
        <v>83</v>
      </c>
      <c r="D22" s="21">
        <v>86</v>
      </c>
      <c r="E22" s="8"/>
      <c r="F22" s="7"/>
      <c r="G22" s="7"/>
      <c r="H22" s="21">
        <v>85</v>
      </c>
      <c r="I22" s="21">
        <v>88</v>
      </c>
      <c r="J22" s="5"/>
      <c r="K22" s="5"/>
      <c r="L22" s="5"/>
      <c r="M22" s="21">
        <v>42</v>
      </c>
      <c r="N22" s="17">
        <f t="shared" si="0"/>
        <v>84.474999999999994</v>
      </c>
      <c r="O22" s="17">
        <f t="shared" si="1"/>
        <v>85.674999999999997</v>
      </c>
      <c r="P22" s="8">
        <f t="shared" si="2"/>
        <v>72.152500000000003</v>
      </c>
      <c r="R22" s="6"/>
    </row>
    <row r="23" spans="1:18" x14ac:dyDescent="0.35">
      <c r="A23" s="5">
        <v>14</v>
      </c>
      <c r="B23" t="s">
        <v>45</v>
      </c>
      <c r="C23" s="21">
        <v>83</v>
      </c>
      <c r="D23" s="21">
        <v>86</v>
      </c>
      <c r="E23" s="8"/>
      <c r="F23" s="7"/>
      <c r="G23" s="7"/>
      <c r="H23" s="21">
        <v>85</v>
      </c>
      <c r="I23" s="21">
        <v>88</v>
      </c>
      <c r="J23" s="5"/>
      <c r="K23" s="5"/>
      <c r="L23" s="5"/>
      <c r="M23" s="21">
        <v>94</v>
      </c>
      <c r="N23" s="17">
        <f t="shared" si="0"/>
        <v>84.473684210526315</v>
      </c>
      <c r="O23" s="17">
        <f t="shared" si="1"/>
        <v>85.631578947368425</v>
      </c>
      <c r="P23" s="8">
        <f t="shared" si="2"/>
        <v>87.73684210526315</v>
      </c>
      <c r="R23" s="6"/>
    </row>
    <row r="24" spans="1:18" x14ac:dyDescent="0.35">
      <c r="A24" s="5">
        <v>15</v>
      </c>
      <c r="B24" t="s">
        <v>46</v>
      </c>
      <c r="C24" s="21">
        <v>84</v>
      </c>
      <c r="D24" s="21">
        <v>86</v>
      </c>
      <c r="E24" s="8"/>
      <c r="F24" s="7"/>
      <c r="G24" s="7"/>
      <c r="H24" s="21">
        <v>83</v>
      </c>
      <c r="I24" s="21">
        <v>85</v>
      </c>
      <c r="J24" s="5"/>
      <c r="K24" s="5"/>
      <c r="L24" s="5"/>
      <c r="M24" s="21">
        <v>24</v>
      </c>
      <c r="N24" s="17">
        <f t="shared" si="0"/>
        <v>84.472222222222229</v>
      </c>
      <c r="O24" s="17">
        <f t="shared" si="1"/>
        <v>85.583333333333329</v>
      </c>
      <c r="P24" s="8">
        <f t="shared" si="2"/>
        <v>66.719444444444449</v>
      </c>
      <c r="R24" s="6"/>
    </row>
    <row r="25" spans="1:18" x14ac:dyDescent="0.35">
      <c r="A25" s="5">
        <v>16</v>
      </c>
      <c r="B25" t="s">
        <v>47</v>
      </c>
      <c r="C25" s="21">
        <v>83</v>
      </c>
      <c r="D25" s="21">
        <v>86</v>
      </c>
      <c r="E25" s="8"/>
      <c r="F25" s="7"/>
      <c r="G25" s="7"/>
      <c r="H25" s="21">
        <v>85</v>
      </c>
      <c r="I25" s="21">
        <v>88</v>
      </c>
      <c r="J25" s="5"/>
      <c r="K25" s="5"/>
      <c r="L25" s="5"/>
      <c r="M25" s="21">
        <v>100</v>
      </c>
      <c r="N25" s="17">
        <f t="shared" si="0"/>
        <v>84.441176470588232</v>
      </c>
      <c r="O25" s="17">
        <f t="shared" si="1"/>
        <v>85.67647058823529</v>
      </c>
      <c r="P25" s="8">
        <f t="shared" si="2"/>
        <v>89.541176470588226</v>
      </c>
      <c r="R25" s="6"/>
    </row>
    <row r="26" spans="1:18" x14ac:dyDescent="0.35">
      <c r="A26" s="5">
        <v>17</v>
      </c>
      <c r="B26" t="s">
        <v>48</v>
      </c>
      <c r="C26" s="21">
        <v>84</v>
      </c>
      <c r="D26" s="21">
        <v>88</v>
      </c>
      <c r="E26" s="8"/>
      <c r="F26" s="7"/>
      <c r="G26" s="7"/>
      <c r="H26" s="21">
        <v>86</v>
      </c>
      <c r="I26" s="21">
        <v>88</v>
      </c>
      <c r="J26" s="5"/>
      <c r="K26" s="5"/>
      <c r="L26" s="5"/>
      <c r="M26" s="21">
        <v>20</v>
      </c>
      <c r="N26" s="17">
        <f t="shared" si="0"/>
        <v>84.4375</v>
      </c>
      <c r="O26" s="17">
        <f t="shared" si="1"/>
        <v>85.625</v>
      </c>
      <c r="P26" s="8">
        <f t="shared" si="2"/>
        <v>65.521874999999994</v>
      </c>
      <c r="R26" s="6"/>
    </row>
    <row r="27" spans="1:18" x14ac:dyDescent="0.35">
      <c r="A27" s="5">
        <v>18</v>
      </c>
      <c r="B27" t="s">
        <v>49</v>
      </c>
      <c r="C27" s="21">
        <v>82</v>
      </c>
      <c r="D27" s="21">
        <v>84</v>
      </c>
      <c r="E27" s="8"/>
      <c r="F27" s="7"/>
      <c r="G27" s="7"/>
      <c r="H27" s="21">
        <v>81</v>
      </c>
      <c r="I27" s="21">
        <v>85</v>
      </c>
      <c r="J27" s="5"/>
      <c r="K27" s="5"/>
      <c r="L27" s="5"/>
      <c r="M27" s="21">
        <v>67</v>
      </c>
      <c r="N27" s="17">
        <f t="shared" si="0"/>
        <v>84.333333333333329</v>
      </c>
      <c r="O27" s="17">
        <f t="shared" si="1"/>
        <v>85.533333333333331</v>
      </c>
      <c r="P27" s="8">
        <f t="shared" si="2"/>
        <v>79.553333333333327</v>
      </c>
      <c r="R27" s="6"/>
    </row>
    <row r="28" spans="1:18" x14ac:dyDescent="0.35">
      <c r="A28" s="5">
        <v>19</v>
      </c>
      <c r="B28" t="s">
        <v>50</v>
      </c>
      <c r="C28" s="21">
        <v>81</v>
      </c>
      <c r="D28" s="21">
        <v>83</v>
      </c>
      <c r="E28" s="8"/>
      <c r="F28" s="7"/>
      <c r="G28" s="7"/>
      <c r="H28" s="21">
        <v>81</v>
      </c>
      <c r="I28" s="21">
        <v>84</v>
      </c>
      <c r="J28" s="5"/>
      <c r="K28" s="5"/>
      <c r="L28" s="5"/>
      <c r="M28" s="21">
        <v>21</v>
      </c>
      <c r="N28" s="17">
        <f t="shared" si="0"/>
        <v>84.428571428571431</v>
      </c>
      <c r="O28" s="17">
        <f t="shared" si="1"/>
        <v>85.714285714285708</v>
      </c>
      <c r="P28" s="8">
        <f t="shared" si="2"/>
        <v>65.849999999999994</v>
      </c>
      <c r="R28" s="6"/>
    </row>
    <row r="29" spans="1:18" x14ac:dyDescent="0.35">
      <c r="A29" s="5">
        <v>20</v>
      </c>
      <c r="B29" t="s">
        <v>51</v>
      </c>
      <c r="C29" s="21">
        <v>82</v>
      </c>
      <c r="D29" s="21">
        <v>84</v>
      </c>
      <c r="E29" s="8"/>
      <c r="F29" s="7"/>
      <c r="G29" s="7"/>
      <c r="H29" s="21">
        <v>82</v>
      </c>
      <c r="I29" s="21">
        <v>84</v>
      </c>
      <c r="J29" s="5"/>
      <c r="K29" s="5"/>
      <c r="L29" s="5"/>
      <c r="M29" s="21">
        <v>74</v>
      </c>
      <c r="N29" s="17">
        <f t="shared" si="0"/>
        <v>84.615384615384613</v>
      </c>
      <c r="O29" s="17">
        <f t="shared" si="1"/>
        <v>85.961538461538467</v>
      </c>
      <c r="P29" s="8">
        <f t="shared" si="2"/>
        <v>81.901923076923083</v>
      </c>
      <c r="R29" s="6"/>
    </row>
    <row r="30" spans="1:18" x14ac:dyDescent="0.35">
      <c r="A30" s="5">
        <v>21</v>
      </c>
      <c r="B30" t="s">
        <v>52</v>
      </c>
      <c r="C30" s="21">
        <v>83</v>
      </c>
      <c r="D30" s="21">
        <v>86</v>
      </c>
      <c r="E30" s="8"/>
      <c r="F30" s="7"/>
      <c r="G30" s="7"/>
      <c r="H30" s="21">
        <v>85</v>
      </c>
      <c r="I30" s="21">
        <v>88</v>
      </c>
      <c r="J30" s="5"/>
      <c r="K30" s="5"/>
      <c r="L30" s="5"/>
      <c r="M30" s="21">
        <v>78</v>
      </c>
      <c r="N30" s="17">
        <f t="shared" si="0"/>
        <v>84.75</v>
      </c>
      <c r="O30" s="17">
        <f t="shared" si="1"/>
        <v>86.208333333333329</v>
      </c>
      <c r="P30" s="8">
        <f t="shared" si="2"/>
        <v>83.235416666666666</v>
      </c>
      <c r="R30" s="6"/>
    </row>
    <row r="31" spans="1:18" x14ac:dyDescent="0.35">
      <c r="A31" s="5">
        <v>22</v>
      </c>
      <c r="B31" t="s">
        <v>53</v>
      </c>
      <c r="C31" s="21">
        <v>83</v>
      </c>
      <c r="D31" s="21">
        <v>86</v>
      </c>
      <c r="E31" s="8"/>
      <c r="F31" s="7"/>
      <c r="G31" s="7"/>
      <c r="H31" s="21">
        <v>84</v>
      </c>
      <c r="I31" s="21">
        <v>86</v>
      </c>
      <c r="J31" s="5"/>
      <c r="K31" s="5"/>
      <c r="L31" s="5"/>
      <c r="M31" s="21">
        <v>80</v>
      </c>
      <c r="N31" s="17">
        <f t="shared" si="0"/>
        <v>84.772727272727266</v>
      </c>
      <c r="O31" s="17">
        <f t="shared" si="1"/>
        <v>86.181818181818187</v>
      </c>
      <c r="P31" s="8">
        <f t="shared" si="2"/>
        <v>83.834090909090918</v>
      </c>
      <c r="R31" s="6"/>
    </row>
    <row r="32" spans="1:18" x14ac:dyDescent="0.35">
      <c r="A32" s="5">
        <v>23</v>
      </c>
      <c r="B32" t="s">
        <v>54</v>
      </c>
      <c r="C32" s="21">
        <v>83</v>
      </c>
      <c r="D32" s="21">
        <v>86</v>
      </c>
      <c r="E32" s="8"/>
      <c r="F32" s="7"/>
      <c r="G32" s="7"/>
      <c r="H32" s="21">
        <v>84</v>
      </c>
      <c r="I32" s="21">
        <v>86</v>
      </c>
      <c r="J32" s="5"/>
      <c r="K32" s="5"/>
      <c r="L32" s="5"/>
      <c r="M32" s="21">
        <v>81</v>
      </c>
      <c r="N32" s="17">
        <f t="shared" si="0"/>
        <v>84.8</v>
      </c>
      <c r="O32" s="17">
        <f t="shared" si="1"/>
        <v>86.3</v>
      </c>
      <c r="P32" s="8">
        <f t="shared" si="2"/>
        <v>84.185000000000002</v>
      </c>
      <c r="R32" s="6"/>
    </row>
    <row r="33" spans="1:27" x14ac:dyDescent="0.35">
      <c r="A33" s="5">
        <v>24</v>
      </c>
      <c r="B33" t="s">
        <v>55</v>
      </c>
      <c r="C33" s="21">
        <v>83</v>
      </c>
      <c r="D33" s="21">
        <v>86</v>
      </c>
      <c r="E33" s="8"/>
      <c r="F33" s="7"/>
      <c r="G33" s="7"/>
      <c r="H33" s="21">
        <v>85</v>
      </c>
      <c r="I33" s="21">
        <v>86</v>
      </c>
      <c r="J33" s="5"/>
      <c r="K33" s="5"/>
      <c r="L33" s="5"/>
      <c r="M33" s="21">
        <v>33</v>
      </c>
      <c r="N33" s="17">
        <f t="shared" si="0"/>
        <v>84.833333333333329</v>
      </c>
      <c r="O33" s="17">
        <f t="shared" si="1"/>
        <v>86.444444444444443</v>
      </c>
      <c r="P33" s="8">
        <f t="shared" si="2"/>
        <v>69.847222222222229</v>
      </c>
      <c r="R33" s="6"/>
    </row>
    <row r="34" spans="1:27" x14ac:dyDescent="0.35">
      <c r="A34" s="5">
        <v>25</v>
      </c>
      <c r="B34" t="s">
        <v>56</v>
      </c>
      <c r="C34" s="21">
        <v>83</v>
      </c>
      <c r="D34" s="21">
        <v>86</v>
      </c>
      <c r="E34" s="8"/>
      <c r="F34" s="7"/>
      <c r="G34" s="7"/>
      <c r="H34" s="21">
        <v>86</v>
      </c>
      <c r="I34" s="21">
        <v>88</v>
      </c>
      <c r="J34" s="5"/>
      <c r="K34" s="5"/>
      <c r="L34" s="5"/>
      <c r="M34" s="21">
        <v>44</v>
      </c>
      <c r="N34" s="17">
        <f t="shared" si="0"/>
        <v>84.875</v>
      </c>
      <c r="O34" s="17">
        <f t="shared" si="1"/>
        <v>86.5625</v>
      </c>
      <c r="P34" s="8">
        <f t="shared" si="2"/>
        <v>73.203125</v>
      </c>
      <c r="R34" s="6"/>
    </row>
    <row r="35" spans="1:27" x14ac:dyDescent="0.35">
      <c r="A35" s="5">
        <v>26</v>
      </c>
      <c r="B35" t="s">
        <v>57</v>
      </c>
      <c r="C35" s="21">
        <v>83</v>
      </c>
      <c r="D35" s="21">
        <v>86</v>
      </c>
      <c r="E35" s="8"/>
      <c r="F35" s="7"/>
      <c r="G35" s="7"/>
      <c r="H35" s="21">
        <v>84</v>
      </c>
      <c r="I35" s="21">
        <v>88</v>
      </c>
      <c r="J35" s="5"/>
      <c r="K35" s="11"/>
      <c r="L35" s="11"/>
      <c r="M35" s="21">
        <v>91</v>
      </c>
      <c r="N35" s="17">
        <f t="shared" si="0"/>
        <v>84.928571428571431</v>
      </c>
      <c r="O35" s="17">
        <f t="shared" si="1"/>
        <v>86.5</v>
      </c>
      <c r="P35" s="8">
        <f t="shared" si="2"/>
        <v>87.300000000000011</v>
      </c>
      <c r="R35" s="6"/>
    </row>
    <row r="36" spans="1:27" x14ac:dyDescent="0.35">
      <c r="A36" s="5">
        <v>27</v>
      </c>
      <c r="B36" t="s">
        <v>58</v>
      </c>
      <c r="C36" s="21">
        <v>83</v>
      </c>
      <c r="D36" s="21">
        <v>86</v>
      </c>
      <c r="E36" s="8"/>
      <c r="F36" s="7"/>
      <c r="G36" s="7"/>
      <c r="H36" s="21">
        <v>84</v>
      </c>
      <c r="I36" s="21">
        <v>88</v>
      </c>
      <c r="J36" s="5"/>
      <c r="K36" s="5"/>
      <c r="L36" s="5"/>
      <c r="M36" s="21">
        <v>34</v>
      </c>
      <c r="N36" s="17">
        <f t="shared" si="0"/>
        <v>85</v>
      </c>
      <c r="O36" s="17">
        <f t="shared" si="1"/>
        <v>86.583333333333329</v>
      </c>
      <c r="P36" s="8">
        <f t="shared" si="2"/>
        <v>70.254166666666663</v>
      </c>
      <c r="R36" s="6"/>
    </row>
    <row r="37" spans="1:27" x14ac:dyDescent="0.35">
      <c r="A37" s="5">
        <v>28</v>
      </c>
      <c r="B37" t="s">
        <v>59</v>
      </c>
      <c r="C37" s="21">
        <v>84</v>
      </c>
      <c r="D37" s="21">
        <v>87</v>
      </c>
      <c r="E37" s="8"/>
      <c r="F37" s="7"/>
      <c r="G37" s="7"/>
      <c r="H37" s="21">
        <v>84</v>
      </c>
      <c r="I37" s="21">
        <v>88</v>
      </c>
      <c r="J37" s="5"/>
      <c r="K37" s="5"/>
      <c r="L37" s="5"/>
      <c r="M37" s="21">
        <v>76</v>
      </c>
      <c r="N37" s="17">
        <f t="shared" si="0"/>
        <v>85.1</v>
      </c>
      <c r="O37" s="17">
        <f t="shared" si="1"/>
        <v>86.7</v>
      </c>
      <c r="P37" s="8">
        <f t="shared" si="2"/>
        <v>82.93</v>
      </c>
      <c r="R37" s="6"/>
    </row>
    <row r="38" spans="1:27" x14ac:dyDescent="0.35">
      <c r="A38" s="5">
        <v>29</v>
      </c>
      <c r="B38" t="s">
        <v>60</v>
      </c>
      <c r="C38" s="21">
        <v>83</v>
      </c>
      <c r="D38" s="21">
        <v>86</v>
      </c>
      <c r="E38" s="5"/>
      <c r="F38" s="7"/>
      <c r="G38" s="7"/>
      <c r="H38" s="21">
        <v>84</v>
      </c>
      <c r="I38" s="21">
        <v>88</v>
      </c>
      <c r="J38" s="5"/>
      <c r="K38" s="5"/>
      <c r="L38" s="5"/>
      <c r="M38" s="21">
        <v>94</v>
      </c>
      <c r="N38" s="17">
        <f t="shared" si="0"/>
        <v>85</v>
      </c>
      <c r="O38" s="17">
        <f t="shared" si="1"/>
        <v>86.875</v>
      </c>
      <c r="P38" s="8">
        <f t="shared" si="2"/>
        <v>88.356250000000003</v>
      </c>
      <c r="R38" s="6"/>
    </row>
    <row r="39" spans="1:27" x14ac:dyDescent="0.35">
      <c r="A39" s="5">
        <v>30</v>
      </c>
      <c r="B39" t="s">
        <v>61</v>
      </c>
      <c r="C39" s="21">
        <v>84</v>
      </c>
      <c r="D39" s="21">
        <v>87</v>
      </c>
      <c r="E39" s="10"/>
      <c r="F39" s="10"/>
      <c r="G39" s="10"/>
      <c r="H39" s="21">
        <v>85</v>
      </c>
      <c r="I39" s="21">
        <v>90</v>
      </c>
      <c r="J39" s="10"/>
      <c r="K39" s="10"/>
      <c r="L39" s="10"/>
      <c r="M39" s="21">
        <v>90</v>
      </c>
      <c r="N39" s="17">
        <f t="shared" si="0"/>
        <v>85.166666666666671</v>
      </c>
      <c r="O39" s="17">
        <f t="shared" si="1"/>
        <v>87.166666666666671</v>
      </c>
      <c r="P39" s="8">
        <f t="shared" si="2"/>
        <v>87.316666666666677</v>
      </c>
      <c r="Q39" s="3"/>
      <c r="R39" s="3"/>
      <c r="X39" s="9"/>
      <c r="AA39" s="9"/>
    </row>
    <row r="40" spans="1:27" x14ac:dyDescent="0.35">
      <c r="A40" s="5">
        <v>31</v>
      </c>
      <c r="B40" t="s">
        <v>62</v>
      </c>
      <c r="C40" s="21">
        <v>84</v>
      </c>
      <c r="D40" s="21">
        <v>87</v>
      </c>
      <c r="E40" s="10"/>
      <c r="F40" s="10"/>
      <c r="G40" s="10"/>
      <c r="H40" s="21">
        <v>85</v>
      </c>
      <c r="I40" s="21">
        <v>90</v>
      </c>
      <c r="J40" s="10"/>
      <c r="K40" s="10"/>
      <c r="L40" s="10"/>
      <c r="M40" s="21">
        <v>82</v>
      </c>
      <c r="N40" s="17">
        <f t="shared" si="0"/>
        <v>85</v>
      </c>
      <c r="O40" s="17">
        <f t="shared" si="1"/>
        <v>87</v>
      </c>
      <c r="P40" s="8">
        <f t="shared" si="2"/>
        <v>84.8</v>
      </c>
      <c r="Q40" s="3"/>
      <c r="R40" s="3"/>
    </row>
    <row r="41" spans="1:27" x14ac:dyDescent="0.35">
      <c r="A41" s="5">
        <v>32</v>
      </c>
      <c r="B41" t="s">
        <v>63</v>
      </c>
      <c r="C41" s="21">
        <v>83</v>
      </c>
      <c r="D41" s="21">
        <v>86</v>
      </c>
      <c r="E41" s="4"/>
      <c r="F41" s="4"/>
      <c r="G41" s="4"/>
      <c r="H41" s="21">
        <v>84</v>
      </c>
      <c r="I41" s="21">
        <v>89</v>
      </c>
      <c r="J41" s="4"/>
      <c r="K41" s="4"/>
      <c r="L41" s="4"/>
      <c r="M41" s="21">
        <v>90</v>
      </c>
      <c r="N41" s="17">
        <f t="shared" si="0"/>
        <v>84.5</v>
      </c>
      <c r="O41" s="17">
        <f t="shared" si="1"/>
        <v>86.5</v>
      </c>
      <c r="P41" s="8">
        <f t="shared" si="2"/>
        <v>86.85</v>
      </c>
      <c r="Q41" s="3"/>
      <c r="R41" s="3"/>
    </row>
    <row r="42" spans="1:27" x14ac:dyDescent="0.35">
      <c r="A42" s="5">
        <v>33</v>
      </c>
      <c r="C42" s="21"/>
      <c r="D42" s="21"/>
      <c r="E42" s="4"/>
      <c r="F42" s="4"/>
      <c r="G42" s="4"/>
      <c r="H42" s="21"/>
      <c r="I42" s="21"/>
      <c r="J42" s="4"/>
      <c r="K42" s="4"/>
      <c r="L42" s="4"/>
      <c r="M42" s="21"/>
      <c r="N42" s="17"/>
      <c r="O42" s="17"/>
      <c r="P42" s="8"/>
      <c r="Q42" s="3"/>
      <c r="R42" s="3"/>
    </row>
    <row r="43" spans="1:27" x14ac:dyDescent="0.35">
      <c r="A43" s="5">
        <v>34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0"/>
      <c r="O43" s="4"/>
      <c r="P43" s="8">
        <f t="shared" si="2"/>
        <v>0</v>
      </c>
      <c r="Q43" s="3"/>
      <c r="R43" s="3"/>
    </row>
    <row r="44" spans="1:27" x14ac:dyDescent="0.35">
      <c r="A44" s="5">
        <v>35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0"/>
      <c r="O44" s="4"/>
      <c r="P44" s="8">
        <f t="shared" si="2"/>
        <v>0</v>
      </c>
      <c r="Q44" s="3"/>
      <c r="R44" s="3"/>
    </row>
    <row r="45" spans="1:27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</row>
    <row r="47" spans="1:27" x14ac:dyDescent="0.35">
      <c r="N47" s="2" t="s">
        <v>22</v>
      </c>
    </row>
    <row r="48" spans="1:27" x14ac:dyDescent="0.35">
      <c r="N48" s="2" t="s">
        <v>13</v>
      </c>
    </row>
    <row r="49" spans="14:14" x14ac:dyDescent="0.35">
      <c r="N49" s="2"/>
    </row>
    <row r="50" spans="14:14" x14ac:dyDescent="0.35">
      <c r="N50" s="2"/>
    </row>
    <row r="51" spans="14:14" x14ac:dyDescent="0.35">
      <c r="N51" s="2" t="s">
        <v>31</v>
      </c>
    </row>
  </sheetData>
  <mergeCells count="7">
    <mergeCell ref="A1:P1"/>
    <mergeCell ref="A2:P2"/>
    <mergeCell ref="N8:O8"/>
    <mergeCell ref="A8:A9"/>
    <mergeCell ref="B8:B9"/>
    <mergeCell ref="C8:G8"/>
    <mergeCell ref="H8:L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500B-C7D5-4318-BBA3-EA4DF5F60268}">
  <dimension ref="A1:AA51"/>
  <sheetViews>
    <sheetView tabSelected="1" zoomScale="50" zoomScaleNormal="50" workbookViewId="0">
      <selection activeCell="N19" sqref="N19"/>
    </sheetView>
  </sheetViews>
  <sheetFormatPr defaultRowHeight="14.5" x14ac:dyDescent="0.35"/>
  <cols>
    <col min="2" max="2" width="40.17968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54296875" customWidth="1"/>
    <col min="25" max="25" width="28.36328125" customWidth="1"/>
  </cols>
  <sheetData>
    <row r="1" spans="1:18" ht="17.5" x14ac:dyDescent="0.35">
      <c r="A1" s="24" t="s">
        <v>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3"/>
      <c r="R1" s="3"/>
    </row>
    <row r="2" spans="1:18" ht="17.5" x14ac:dyDescent="0.35">
      <c r="A2" s="24" t="s">
        <v>14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3"/>
      <c r="R2" s="3"/>
    </row>
    <row r="3" spans="1:18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2" t="s">
        <v>0</v>
      </c>
      <c r="B4" s="3"/>
      <c r="C4" s="2" t="s">
        <v>30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35">
      <c r="A5" s="2" t="s">
        <v>1</v>
      </c>
      <c r="B5" s="3"/>
      <c r="C5" s="2" t="s">
        <v>30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5">
      <c r="A6" s="2" t="s">
        <v>15</v>
      </c>
      <c r="B6" s="3"/>
      <c r="C6" s="2" t="s">
        <v>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 customHeight="1" x14ac:dyDescent="0.35">
      <c r="A8" s="27" t="s">
        <v>2</v>
      </c>
      <c r="B8" s="28" t="s">
        <v>3</v>
      </c>
      <c r="C8" s="29" t="s">
        <v>26</v>
      </c>
      <c r="D8" s="29"/>
      <c r="E8" s="29"/>
      <c r="F8" s="29"/>
      <c r="G8" s="29"/>
      <c r="H8" s="30" t="s">
        <v>27</v>
      </c>
      <c r="I8" s="30"/>
      <c r="J8" s="30"/>
      <c r="K8" s="30"/>
      <c r="L8" s="30"/>
      <c r="M8" s="20" t="s">
        <v>9</v>
      </c>
      <c r="N8" s="25" t="s">
        <v>24</v>
      </c>
      <c r="O8" s="26"/>
      <c r="P8" s="15" t="s">
        <v>10</v>
      </c>
      <c r="R8" s="1" t="s">
        <v>16</v>
      </c>
    </row>
    <row r="9" spans="1:18" ht="14.5" customHeight="1" x14ac:dyDescent="0.35">
      <c r="A9" s="27"/>
      <c r="B9" s="28"/>
      <c r="C9" s="22" t="s">
        <v>4</v>
      </c>
      <c r="D9" s="22" t="s">
        <v>5</v>
      </c>
      <c r="E9" s="22" t="s">
        <v>6</v>
      </c>
      <c r="F9" s="22" t="s">
        <v>7</v>
      </c>
      <c r="G9" s="22" t="s">
        <v>25</v>
      </c>
      <c r="H9" s="23" t="s">
        <v>4</v>
      </c>
      <c r="I9" s="23" t="s">
        <v>8</v>
      </c>
      <c r="J9" s="23" t="s">
        <v>6</v>
      </c>
      <c r="K9" s="23" t="s">
        <v>7</v>
      </c>
      <c r="L9" s="23" t="s">
        <v>25</v>
      </c>
      <c r="M9" s="20" t="s">
        <v>23</v>
      </c>
      <c r="N9" s="14" t="s">
        <v>28</v>
      </c>
      <c r="O9" s="14" t="s">
        <v>29</v>
      </c>
      <c r="P9" s="16"/>
      <c r="R9" s="2" t="s">
        <v>11</v>
      </c>
    </row>
    <row r="10" spans="1:18" x14ac:dyDescent="0.35">
      <c r="A10" s="5">
        <v>1</v>
      </c>
      <c r="B10" t="s">
        <v>32</v>
      </c>
      <c r="C10" s="21">
        <v>83</v>
      </c>
      <c r="D10" s="21">
        <v>85</v>
      </c>
      <c r="E10" s="17"/>
      <c r="F10" s="18"/>
      <c r="G10" s="18"/>
      <c r="H10" s="21">
        <v>84</v>
      </c>
      <c r="I10" s="21">
        <v>88</v>
      </c>
      <c r="J10" s="19"/>
      <c r="K10" s="19"/>
      <c r="L10" s="19"/>
      <c r="M10" s="21">
        <v>51</v>
      </c>
      <c r="N10" s="17">
        <f>AVERAGE(C10:D42)</f>
        <v>84.421875</v>
      </c>
      <c r="O10" s="17">
        <f>AVERAGE(H10:I42)</f>
        <v>85.625</v>
      </c>
      <c r="P10" s="8">
        <f>(M10*30/100)+(N10*35/100)+(O10*35/100)</f>
        <v>74.81640625</v>
      </c>
      <c r="R10" s="2" t="s">
        <v>17</v>
      </c>
    </row>
    <row r="11" spans="1:18" x14ac:dyDescent="0.35">
      <c r="A11" s="5">
        <v>2</v>
      </c>
      <c r="B11" t="s">
        <v>33</v>
      </c>
      <c r="C11" s="21">
        <v>83</v>
      </c>
      <c r="D11" s="21">
        <v>86</v>
      </c>
      <c r="E11" s="8"/>
      <c r="F11" s="7"/>
      <c r="G11" s="7"/>
      <c r="H11" s="21">
        <v>84</v>
      </c>
      <c r="I11" s="21">
        <v>86</v>
      </c>
      <c r="J11" s="5"/>
      <c r="K11" s="5"/>
      <c r="L11" s="5"/>
      <c r="M11" s="21">
        <v>91</v>
      </c>
      <c r="N11" s="17">
        <f t="shared" ref="N11:N41" si="0">AVERAGE(C11:D43)</f>
        <v>84.435483870967744</v>
      </c>
      <c r="O11" s="17">
        <f t="shared" ref="O11:O41" si="1">AVERAGE(H11:I43)</f>
        <v>85.612903225806448</v>
      </c>
      <c r="P11" s="8">
        <f t="shared" ref="P11:P44" si="2">(M11*30/100)+(N11*35/100)+(O11*35/100)</f>
        <v>86.816935483870978</v>
      </c>
      <c r="R11" s="2" t="s">
        <v>19</v>
      </c>
    </row>
    <row r="12" spans="1:18" x14ac:dyDescent="0.35">
      <c r="A12" s="5">
        <v>3</v>
      </c>
      <c r="B12" t="s">
        <v>34</v>
      </c>
      <c r="C12" s="21">
        <v>83</v>
      </c>
      <c r="D12" s="21">
        <v>84</v>
      </c>
      <c r="E12" s="8"/>
      <c r="F12" s="7"/>
      <c r="G12" s="7"/>
      <c r="H12" s="21">
        <v>82</v>
      </c>
      <c r="I12" s="21">
        <v>84</v>
      </c>
      <c r="J12" s="5"/>
      <c r="K12" s="5"/>
      <c r="L12" s="5"/>
      <c r="M12" s="21">
        <v>42</v>
      </c>
      <c r="N12" s="17">
        <f t="shared" si="0"/>
        <v>84.433333333333337</v>
      </c>
      <c r="O12" s="17">
        <f t="shared" si="1"/>
        <v>85.63333333333334</v>
      </c>
      <c r="P12" s="8">
        <f t="shared" si="2"/>
        <v>72.123333333333335</v>
      </c>
      <c r="R12" s="2" t="s">
        <v>20</v>
      </c>
    </row>
    <row r="13" spans="1:18" x14ac:dyDescent="0.35">
      <c r="A13" s="5">
        <v>4</v>
      </c>
      <c r="B13" t="s">
        <v>35</v>
      </c>
      <c r="C13" s="21">
        <v>84</v>
      </c>
      <c r="D13" s="21">
        <v>86</v>
      </c>
      <c r="E13" s="8"/>
      <c r="F13" s="7"/>
      <c r="G13" s="7"/>
      <c r="H13" s="21">
        <v>85</v>
      </c>
      <c r="I13" s="21">
        <v>88</v>
      </c>
      <c r="J13" s="5"/>
      <c r="K13" s="5"/>
      <c r="L13" s="5"/>
      <c r="M13" s="21">
        <v>97</v>
      </c>
      <c r="N13" s="17">
        <f t="shared" si="0"/>
        <v>84.465517241379317</v>
      </c>
      <c r="O13" s="17">
        <f t="shared" si="1"/>
        <v>85.724137931034477</v>
      </c>
      <c r="P13" s="8">
        <f t="shared" si="2"/>
        <v>88.666379310344837</v>
      </c>
      <c r="R13" s="2" t="s">
        <v>21</v>
      </c>
    </row>
    <row r="14" spans="1:18" x14ac:dyDescent="0.35">
      <c r="A14" s="5">
        <v>5</v>
      </c>
      <c r="B14" t="s">
        <v>36</v>
      </c>
      <c r="C14" s="21">
        <v>83</v>
      </c>
      <c r="D14" s="21">
        <v>86</v>
      </c>
      <c r="E14" s="8"/>
      <c r="F14" s="7"/>
      <c r="G14" s="7"/>
      <c r="H14" s="21">
        <v>85</v>
      </c>
      <c r="I14" s="21">
        <v>88</v>
      </c>
      <c r="J14" s="5"/>
      <c r="K14" s="5"/>
      <c r="L14" s="5"/>
      <c r="M14" s="21">
        <v>80</v>
      </c>
      <c r="N14" s="17">
        <f t="shared" si="0"/>
        <v>84.446428571428569</v>
      </c>
      <c r="O14" s="17">
        <f t="shared" si="1"/>
        <v>85.696428571428569</v>
      </c>
      <c r="P14" s="8">
        <f t="shared" si="2"/>
        <v>83.55</v>
      </c>
      <c r="R14" s="2" t="s">
        <v>12</v>
      </c>
    </row>
    <row r="15" spans="1:18" x14ac:dyDescent="0.35">
      <c r="A15" s="5">
        <v>6</v>
      </c>
      <c r="B15" t="s">
        <v>37</v>
      </c>
      <c r="C15" s="21">
        <v>83</v>
      </c>
      <c r="D15" s="21">
        <v>86</v>
      </c>
      <c r="E15" s="8"/>
      <c r="F15" s="7"/>
      <c r="G15" s="7"/>
      <c r="H15" s="21">
        <v>85</v>
      </c>
      <c r="I15" s="21">
        <v>88</v>
      </c>
      <c r="J15" s="5"/>
      <c r="K15" s="5"/>
      <c r="L15" s="5"/>
      <c r="M15" s="21">
        <v>44</v>
      </c>
      <c r="N15" s="17">
        <f t="shared" si="0"/>
        <v>84.444444444444443</v>
      </c>
      <c r="O15" s="17">
        <f t="shared" si="1"/>
        <v>85.666666666666671</v>
      </c>
      <c r="P15" s="8">
        <f t="shared" si="2"/>
        <v>72.738888888888894</v>
      </c>
      <c r="R15" s="6"/>
    </row>
    <row r="16" spans="1:18" x14ac:dyDescent="0.35">
      <c r="A16" s="5">
        <v>7</v>
      </c>
      <c r="B16" t="s">
        <v>38</v>
      </c>
      <c r="C16" s="21">
        <v>83</v>
      </c>
      <c r="D16" s="21">
        <v>86</v>
      </c>
      <c r="E16" s="8"/>
      <c r="F16" s="7"/>
      <c r="G16" s="7"/>
      <c r="H16" s="21">
        <v>85</v>
      </c>
      <c r="I16" s="21">
        <v>88</v>
      </c>
      <c r="J16" s="5"/>
      <c r="K16" s="5"/>
      <c r="L16" s="5"/>
      <c r="M16" s="21">
        <v>82</v>
      </c>
      <c r="N16" s="17">
        <f t="shared" si="0"/>
        <v>84.442307692307693</v>
      </c>
      <c r="O16" s="17">
        <f t="shared" si="1"/>
        <v>85.634615384615387</v>
      </c>
      <c r="P16" s="8">
        <f t="shared" si="2"/>
        <v>84.126923076923077</v>
      </c>
      <c r="R16" s="6"/>
    </row>
    <row r="17" spans="1:18" x14ac:dyDescent="0.35">
      <c r="A17" s="5">
        <v>8</v>
      </c>
      <c r="B17" t="s">
        <v>39</v>
      </c>
      <c r="C17" s="21">
        <v>84</v>
      </c>
      <c r="D17" s="21">
        <v>86</v>
      </c>
      <c r="E17" s="8"/>
      <c r="F17" s="7"/>
      <c r="G17" s="7"/>
      <c r="H17" s="21">
        <v>85</v>
      </c>
      <c r="I17" s="21">
        <v>88</v>
      </c>
      <c r="J17" s="5"/>
      <c r="K17" s="5"/>
      <c r="L17" s="5"/>
      <c r="M17" s="21">
        <v>97</v>
      </c>
      <c r="N17" s="17">
        <f t="shared" si="0"/>
        <v>84.44</v>
      </c>
      <c r="O17" s="17">
        <f t="shared" si="1"/>
        <v>85.6</v>
      </c>
      <c r="P17" s="8">
        <f t="shared" si="2"/>
        <v>88.614000000000004</v>
      </c>
      <c r="R17" s="6"/>
    </row>
    <row r="18" spans="1:18" x14ac:dyDescent="0.35">
      <c r="A18" s="5">
        <v>9</v>
      </c>
      <c r="B18" t="s">
        <v>40</v>
      </c>
      <c r="C18" s="21">
        <v>82</v>
      </c>
      <c r="D18" s="21">
        <v>84</v>
      </c>
      <c r="E18" s="8"/>
      <c r="F18" s="7"/>
      <c r="G18" s="7"/>
      <c r="H18" s="21">
        <v>83</v>
      </c>
      <c r="I18" s="21">
        <v>86</v>
      </c>
      <c r="J18" s="5"/>
      <c r="K18" s="5"/>
      <c r="L18" s="5"/>
      <c r="M18" s="21">
        <v>47</v>
      </c>
      <c r="N18" s="17">
        <f t="shared" si="0"/>
        <v>84.416666666666671</v>
      </c>
      <c r="O18" s="17">
        <f t="shared" si="1"/>
        <v>85.5625</v>
      </c>
      <c r="P18" s="8">
        <f t="shared" si="2"/>
        <v>73.592708333333334</v>
      </c>
      <c r="R18" s="6"/>
    </row>
    <row r="19" spans="1:18" x14ac:dyDescent="0.35">
      <c r="A19" s="5">
        <v>10</v>
      </c>
      <c r="B19" t="s">
        <v>41</v>
      </c>
      <c r="C19" s="21">
        <v>83</v>
      </c>
      <c r="D19" s="21">
        <v>86</v>
      </c>
      <c r="E19" s="8"/>
      <c r="F19" s="7"/>
      <c r="G19" s="7"/>
      <c r="H19" s="21">
        <v>85</v>
      </c>
      <c r="I19" s="21">
        <v>88</v>
      </c>
      <c r="J19" s="5"/>
      <c r="K19" s="5"/>
      <c r="L19" s="5"/>
      <c r="M19" s="21">
        <v>97</v>
      </c>
      <c r="N19" s="17">
        <f t="shared" si="0"/>
        <v>84.478260869565219</v>
      </c>
      <c r="O19" s="17">
        <f t="shared" si="1"/>
        <v>85.608695652173907</v>
      </c>
      <c r="P19" s="8">
        <f t="shared" si="2"/>
        <v>88.630434782608688</v>
      </c>
      <c r="R19" s="6"/>
    </row>
    <row r="20" spans="1:18" x14ac:dyDescent="0.35">
      <c r="A20" s="5">
        <v>11</v>
      </c>
      <c r="B20" t="s">
        <v>42</v>
      </c>
      <c r="C20" s="21">
        <v>84</v>
      </c>
      <c r="D20" s="21">
        <v>86</v>
      </c>
      <c r="E20" s="8"/>
      <c r="F20" s="7"/>
      <c r="G20" s="7"/>
      <c r="H20" s="21">
        <v>85</v>
      </c>
      <c r="I20" s="21">
        <v>87</v>
      </c>
      <c r="J20" s="5"/>
      <c r="K20" s="5"/>
      <c r="L20" s="5"/>
      <c r="M20" s="21">
        <v>72</v>
      </c>
      <c r="N20" s="17">
        <f t="shared" si="0"/>
        <v>84.477272727272734</v>
      </c>
      <c r="O20" s="17">
        <f t="shared" si="1"/>
        <v>85.568181818181813</v>
      </c>
      <c r="P20" s="8">
        <f t="shared" si="2"/>
        <v>81.115909090909099</v>
      </c>
      <c r="R20" s="6"/>
    </row>
    <row r="21" spans="1:18" x14ac:dyDescent="0.35">
      <c r="A21" s="5">
        <v>12</v>
      </c>
      <c r="B21" t="s">
        <v>43</v>
      </c>
      <c r="C21" s="21">
        <v>83</v>
      </c>
      <c r="D21" s="21">
        <v>85</v>
      </c>
      <c r="E21" s="8"/>
      <c r="F21" s="7"/>
      <c r="G21" s="7"/>
      <c r="H21" s="21">
        <v>82</v>
      </c>
      <c r="I21" s="21">
        <v>84</v>
      </c>
      <c r="J21" s="5"/>
      <c r="K21" s="5"/>
      <c r="L21" s="5"/>
      <c r="M21" s="21">
        <v>39</v>
      </c>
      <c r="N21" s="17">
        <f t="shared" si="0"/>
        <v>84.452380952380949</v>
      </c>
      <c r="O21" s="17">
        <f t="shared" si="1"/>
        <v>85.547619047619051</v>
      </c>
      <c r="P21" s="8">
        <f t="shared" si="2"/>
        <v>71.199999999999989</v>
      </c>
      <c r="R21" s="6"/>
    </row>
    <row r="22" spans="1:18" x14ac:dyDescent="0.35">
      <c r="A22" s="5">
        <v>13</v>
      </c>
      <c r="B22" t="s">
        <v>44</v>
      </c>
      <c r="C22" s="21">
        <v>83</v>
      </c>
      <c r="D22" s="21">
        <v>86</v>
      </c>
      <c r="E22" s="8"/>
      <c r="F22" s="7"/>
      <c r="G22" s="7"/>
      <c r="H22" s="21">
        <v>85</v>
      </c>
      <c r="I22" s="21">
        <v>88</v>
      </c>
      <c r="J22" s="5"/>
      <c r="K22" s="5"/>
      <c r="L22" s="5"/>
      <c r="M22" s="21">
        <v>42</v>
      </c>
      <c r="N22" s="17">
        <f t="shared" si="0"/>
        <v>84.474999999999994</v>
      </c>
      <c r="O22" s="17">
        <f t="shared" si="1"/>
        <v>85.674999999999997</v>
      </c>
      <c r="P22" s="8">
        <f t="shared" si="2"/>
        <v>72.152500000000003</v>
      </c>
      <c r="R22" s="6"/>
    </row>
    <row r="23" spans="1:18" x14ac:dyDescent="0.35">
      <c r="A23" s="5">
        <v>14</v>
      </c>
      <c r="B23" t="s">
        <v>45</v>
      </c>
      <c r="C23" s="21">
        <v>83</v>
      </c>
      <c r="D23" s="21">
        <v>86</v>
      </c>
      <c r="E23" s="8"/>
      <c r="F23" s="7"/>
      <c r="G23" s="7"/>
      <c r="H23" s="21">
        <v>85</v>
      </c>
      <c r="I23" s="21">
        <v>88</v>
      </c>
      <c r="J23" s="5"/>
      <c r="K23" s="5"/>
      <c r="L23" s="5"/>
      <c r="M23" s="21">
        <v>94</v>
      </c>
      <c r="N23" s="17">
        <f t="shared" si="0"/>
        <v>84.473684210526315</v>
      </c>
      <c r="O23" s="17">
        <f t="shared" si="1"/>
        <v>85.631578947368425</v>
      </c>
      <c r="P23" s="8">
        <f t="shared" si="2"/>
        <v>87.73684210526315</v>
      </c>
      <c r="R23" s="6"/>
    </row>
    <row r="24" spans="1:18" x14ac:dyDescent="0.35">
      <c r="A24" s="5">
        <v>15</v>
      </c>
      <c r="B24" t="s">
        <v>46</v>
      </c>
      <c r="C24" s="21">
        <v>84</v>
      </c>
      <c r="D24" s="21">
        <v>86</v>
      </c>
      <c r="E24" s="8"/>
      <c r="F24" s="7"/>
      <c r="G24" s="7"/>
      <c r="H24" s="21">
        <v>83</v>
      </c>
      <c r="I24" s="21">
        <v>85</v>
      </c>
      <c r="J24" s="5"/>
      <c r="K24" s="5"/>
      <c r="L24" s="5"/>
      <c r="M24" s="21">
        <v>24</v>
      </c>
      <c r="N24" s="17">
        <f t="shared" si="0"/>
        <v>84.472222222222229</v>
      </c>
      <c r="O24" s="17">
        <f t="shared" si="1"/>
        <v>85.583333333333329</v>
      </c>
      <c r="P24" s="8">
        <f t="shared" si="2"/>
        <v>66.719444444444449</v>
      </c>
      <c r="R24" s="6"/>
    </row>
    <row r="25" spans="1:18" x14ac:dyDescent="0.35">
      <c r="A25" s="5">
        <v>16</v>
      </c>
      <c r="B25" t="s">
        <v>47</v>
      </c>
      <c r="C25" s="21">
        <v>83</v>
      </c>
      <c r="D25" s="21">
        <v>86</v>
      </c>
      <c r="E25" s="8"/>
      <c r="F25" s="7"/>
      <c r="G25" s="7"/>
      <c r="H25" s="21">
        <v>85</v>
      </c>
      <c r="I25" s="21">
        <v>88</v>
      </c>
      <c r="J25" s="5"/>
      <c r="K25" s="5"/>
      <c r="L25" s="5"/>
      <c r="M25" s="21">
        <v>100</v>
      </c>
      <c r="N25" s="17">
        <f t="shared" si="0"/>
        <v>84.441176470588232</v>
      </c>
      <c r="O25" s="17">
        <f t="shared" si="1"/>
        <v>85.67647058823529</v>
      </c>
      <c r="P25" s="8">
        <f t="shared" si="2"/>
        <v>89.541176470588226</v>
      </c>
      <c r="R25" s="6"/>
    </row>
    <row r="26" spans="1:18" x14ac:dyDescent="0.35">
      <c r="A26" s="5">
        <v>17</v>
      </c>
      <c r="B26" t="s">
        <v>48</v>
      </c>
      <c r="C26" s="21">
        <v>84</v>
      </c>
      <c r="D26" s="21">
        <v>88</v>
      </c>
      <c r="E26" s="8"/>
      <c r="F26" s="7"/>
      <c r="G26" s="7"/>
      <c r="H26" s="21">
        <v>86</v>
      </c>
      <c r="I26" s="21">
        <v>88</v>
      </c>
      <c r="J26" s="5"/>
      <c r="K26" s="5"/>
      <c r="L26" s="5"/>
      <c r="M26" s="21">
        <v>20</v>
      </c>
      <c r="N26" s="17">
        <f t="shared" si="0"/>
        <v>84.4375</v>
      </c>
      <c r="O26" s="17">
        <f t="shared" si="1"/>
        <v>85.625</v>
      </c>
      <c r="P26" s="8">
        <f t="shared" si="2"/>
        <v>65.521874999999994</v>
      </c>
      <c r="R26" s="6"/>
    </row>
    <row r="27" spans="1:18" x14ac:dyDescent="0.35">
      <c r="A27" s="5">
        <v>18</v>
      </c>
      <c r="B27" t="s">
        <v>49</v>
      </c>
      <c r="C27" s="21">
        <v>82</v>
      </c>
      <c r="D27" s="21">
        <v>84</v>
      </c>
      <c r="E27" s="8"/>
      <c r="F27" s="7"/>
      <c r="G27" s="7"/>
      <c r="H27" s="21">
        <v>81</v>
      </c>
      <c r="I27" s="21">
        <v>85</v>
      </c>
      <c r="J27" s="5"/>
      <c r="K27" s="5"/>
      <c r="L27" s="5"/>
      <c r="M27" s="21">
        <v>67</v>
      </c>
      <c r="N27" s="17">
        <f t="shared" si="0"/>
        <v>84.333333333333329</v>
      </c>
      <c r="O27" s="17">
        <f t="shared" si="1"/>
        <v>85.533333333333331</v>
      </c>
      <c r="P27" s="8">
        <f t="shared" si="2"/>
        <v>79.553333333333327</v>
      </c>
      <c r="R27" s="6"/>
    </row>
    <row r="28" spans="1:18" x14ac:dyDescent="0.35">
      <c r="A28" s="5">
        <v>19</v>
      </c>
      <c r="B28" t="s">
        <v>50</v>
      </c>
      <c r="C28" s="21">
        <v>81</v>
      </c>
      <c r="D28" s="21">
        <v>83</v>
      </c>
      <c r="E28" s="8"/>
      <c r="F28" s="7"/>
      <c r="G28" s="7"/>
      <c r="H28" s="21">
        <v>81</v>
      </c>
      <c r="I28" s="21">
        <v>84</v>
      </c>
      <c r="J28" s="5"/>
      <c r="K28" s="5"/>
      <c r="L28" s="5"/>
      <c r="M28" s="21">
        <v>21</v>
      </c>
      <c r="N28" s="17">
        <f t="shared" si="0"/>
        <v>84.428571428571431</v>
      </c>
      <c r="O28" s="17">
        <f t="shared" si="1"/>
        <v>85.714285714285708</v>
      </c>
      <c r="P28" s="8">
        <f t="shared" si="2"/>
        <v>65.849999999999994</v>
      </c>
      <c r="R28" s="6"/>
    </row>
    <row r="29" spans="1:18" x14ac:dyDescent="0.35">
      <c r="A29" s="5">
        <v>20</v>
      </c>
      <c r="B29" t="s">
        <v>51</v>
      </c>
      <c r="C29" s="21">
        <v>82</v>
      </c>
      <c r="D29" s="21">
        <v>84</v>
      </c>
      <c r="E29" s="8"/>
      <c r="F29" s="7"/>
      <c r="G29" s="7"/>
      <c r="H29" s="21">
        <v>82</v>
      </c>
      <c r="I29" s="21">
        <v>84</v>
      </c>
      <c r="J29" s="5"/>
      <c r="K29" s="5"/>
      <c r="L29" s="5"/>
      <c r="M29" s="21">
        <v>74</v>
      </c>
      <c r="N29" s="17">
        <f t="shared" si="0"/>
        <v>84.615384615384613</v>
      </c>
      <c r="O29" s="17">
        <f t="shared" si="1"/>
        <v>85.961538461538467</v>
      </c>
      <c r="P29" s="8">
        <f t="shared" si="2"/>
        <v>81.901923076923083</v>
      </c>
      <c r="R29" s="6"/>
    </row>
    <row r="30" spans="1:18" x14ac:dyDescent="0.35">
      <c r="A30" s="5">
        <v>21</v>
      </c>
      <c r="B30" t="s">
        <v>52</v>
      </c>
      <c r="C30" s="21">
        <v>83</v>
      </c>
      <c r="D30" s="21">
        <v>86</v>
      </c>
      <c r="E30" s="8"/>
      <c r="F30" s="7"/>
      <c r="G30" s="7"/>
      <c r="H30" s="21">
        <v>85</v>
      </c>
      <c r="I30" s="21">
        <v>88</v>
      </c>
      <c r="J30" s="5"/>
      <c r="K30" s="5"/>
      <c r="L30" s="5"/>
      <c r="M30" s="21">
        <v>78</v>
      </c>
      <c r="N30" s="17">
        <f t="shared" si="0"/>
        <v>84.75</v>
      </c>
      <c r="O30" s="17">
        <f t="shared" si="1"/>
        <v>86.208333333333329</v>
      </c>
      <c r="P30" s="8">
        <f t="shared" si="2"/>
        <v>83.235416666666666</v>
      </c>
      <c r="R30" s="6"/>
    </row>
    <row r="31" spans="1:18" x14ac:dyDescent="0.35">
      <c r="A31" s="5">
        <v>22</v>
      </c>
      <c r="B31" t="s">
        <v>53</v>
      </c>
      <c r="C31" s="21">
        <v>83</v>
      </c>
      <c r="D31" s="21">
        <v>86</v>
      </c>
      <c r="E31" s="8"/>
      <c r="F31" s="7"/>
      <c r="G31" s="7"/>
      <c r="H31" s="21">
        <v>84</v>
      </c>
      <c r="I31" s="21">
        <v>86</v>
      </c>
      <c r="J31" s="5"/>
      <c r="K31" s="5"/>
      <c r="L31" s="5"/>
      <c r="M31" s="21">
        <v>80</v>
      </c>
      <c r="N31" s="17">
        <f t="shared" si="0"/>
        <v>84.772727272727266</v>
      </c>
      <c r="O31" s="17">
        <f t="shared" si="1"/>
        <v>86.181818181818187</v>
      </c>
      <c r="P31" s="8">
        <f t="shared" si="2"/>
        <v>83.834090909090918</v>
      </c>
      <c r="R31" s="6"/>
    </row>
    <row r="32" spans="1:18" x14ac:dyDescent="0.35">
      <c r="A32" s="5">
        <v>23</v>
      </c>
      <c r="B32" t="s">
        <v>54</v>
      </c>
      <c r="C32" s="21">
        <v>83</v>
      </c>
      <c r="D32" s="21">
        <v>86</v>
      </c>
      <c r="E32" s="8"/>
      <c r="F32" s="7"/>
      <c r="G32" s="7"/>
      <c r="H32" s="21">
        <v>84</v>
      </c>
      <c r="I32" s="21">
        <v>86</v>
      </c>
      <c r="J32" s="5"/>
      <c r="K32" s="5"/>
      <c r="L32" s="5"/>
      <c r="M32" s="21">
        <v>81</v>
      </c>
      <c r="N32" s="17">
        <f t="shared" si="0"/>
        <v>84.8</v>
      </c>
      <c r="O32" s="17">
        <f t="shared" si="1"/>
        <v>86.3</v>
      </c>
      <c r="P32" s="8">
        <f t="shared" si="2"/>
        <v>84.185000000000002</v>
      </c>
      <c r="R32" s="6"/>
    </row>
    <row r="33" spans="1:27" x14ac:dyDescent="0.35">
      <c r="A33" s="5">
        <v>24</v>
      </c>
      <c r="B33" t="s">
        <v>55</v>
      </c>
      <c r="C33" s="21">
        <v>83</v>
      </c>
      <c r="D33" s="21">
        <v>86</v>
      </c>
      <c r="E33" s="8"/>
      <c r="F33" s="7"/>
      <c r="G33" s="7"/>
      <c r="H33" s="21">
        <v>85</v>
      </c>
      <c r="I33" s="21">
        <v>86</v>
      </c>
      <c r="J33" s="5"/>
      <c r="K33" s="5"/>
      <c r="L33" s="5"/>
      <c r="M33" s="21">
        <v>33</v>
      </c>
      <c r="N33" s="17">
        <f t="shared" si="0"/>
        <v>84.833333333333329</v>
      </c>
      <c r="O33" s="17">
        <f t="shared" si="1"/>
        <v>86.444444444444443</v>
      </c>
      <c r="P33" s="8">
        <f t="shared" si="2"/>
        <v>69.847222222222229</v>
      </c>
      <c r="R33" s="6"/>
    </row>
    <row r="34" spans="1:27" x14ac:dyDescent="0.35">
      <c r="A34" s="5">
        <v>25</v>
      </c>
      <c r="B34" t="s">
        <v>56</v>
      </c>
      <c r="C34" s="21">
        <v>83</v>
      </c>
      <c r="D34" s="21">
        <v>86</v>
      </c>
      <c r="E34" s="8"/>
      <c r="F34" s="7"/>
      <c r="G34" s="7"/>
      <c r="H34" s="21">
        <v>86</v>
      </c>
      <c r="I34" s="21">
        <v>88</v>
      </c>
      <c r="J34" s="5"/>
      <c r="K34" s="5"/>
      <c r="L34" s="5"/>
      <c r="M34" s="21">
        <v>44</v>
      </c>
      <c r="N34" s="17">
        <f t="shared" si="0"/>
        <v>84.875</v>
      </c>
      <c r="O34" s="17">
        <f t="shared" si="1"/>
        <v>86.5625</v>
      </c>
      <c r="P34" s="8">
        <f t="shared" si="2"/>
        <v>73.203125</v>
      </c>
      <c r="R34" s="6"/>
    </row>
    <row r="35" spans="1:27" x14ac:dyDescent="0.35">
      <c r="A35" s="5">
        <v>26</v>
      </c>
      <c r="B35" t="s">
        <v>57</v>
      </c>
      <c r="C35" s="21">
        <v>83</v>
      </c>
      <c r="D35" s="21">
        <v>86</v>
      </c>
      <c r="E35" s="8"/>
      <c r="F35" s="7"/>
      <c r="G35" s="7"/>
      <c r="H35" s="21">
        <v>84</v>
      </c>
      <c r="I35" s="21">
        <v>88</v>
      </c>
      <c r="J35" s="5"/>
      <c r="K35" s="11"/>
      <c r="L35" s="11"/>
      <c r="M35" s="21">
        <v>91</v>
      </c>
      <c r="N35" s="17">
        <f t="shared" si="0"/>
        <v>84.928571428571431</v>
      </c>
      <c r="O35" s="17">
        <f t="shared" si="1"/>
        <v>86.5</v>
      </c>
      <c r="P35" s="8">
        <f t="shared" si="2"/>
        <v>87.300000000000011</v>
      </c>
      <c r="R35" s="6"/>
    </row>
    <row r="36" spans="1:27" x14ac:dyDescent="0.35">
      <c r="A36" s="5">
        <v>27</v>
      </c>
      <c r="B36" t="s">
        <v>58</v>
      </c>
      <c r="C36" s="21">
        <v>83</v>
      </c>
      <c r="D36" s="21">
        <v>86</v>
      </c>
      <c r="E36" s="8"/>
      <c r="F36" s="7"/>
      <c r="G36" s="7"/>
      <c r="H36" s="21">
        <v>84</v>
      </c>
      <c r="I36" s="21">
        <v>88</v>
      </c>
      <c r="J36" s="5"/>
      <c r="K36" s="5"/>
      <c r="L36" s="5"/>
      <c r="M36" s="21">
        <v>34</v>
      </c>
      <c r="N36" s="17">
        <f t="shared" si="0"/>
        <v>85</v>
      </c>
      <c r="O36" s="17">
        <f t="shared" si="1"/>
        <v>86.583333333333329</v>
      </c>
      <c r="P36" s="8">
        <f t="shared" si="2"/>
        <v>70.254166666666663</v>
      </c>
      <c r="R36" s="6"/>
    </row>
    <row r="37" spans="1:27" x14ac:dyDescent="0.35">
      <c r="A37" s="5">
        <v>28</v>
      </c>
      <c r="B37" t="s">
        <v>59</v>
      </c>
      <c r="C37" s="21">
        <v>84</v>
      </c>
      <c r="D37" s="21">
        <v>87</v>
      </c>
      <c r="E37" s="8"/>
      <c r="F37" s="7"/>
      <c r="G37" s="7"/>
      <c r="H37" s="21">
        <v>84</v>
      </c>
      <c r="I37" s="21">
        <v>88</v>
      </c>
      <c r="J37" s="5"/>
      <c r="K37" s="5"/>
      <c r="L37" s="5"/>
      <c r="M37" s="21">
        <v>76</v>
      </c>
      <c r="N37" s="17">
        <f t="shared" si="0"/>
        <v>85.1</v>
      </c>
      <c r="O37" s="17">
        <f t="shared" si="1"/>
        <v>86.7</v>
      </c>
      <c r="P37" s="8">
        <f t="shared" si="2"/>
        <v>82.93</v>
      </c>
      <c r="R37" s="6"/>
    </row>
    <row r="38" spans="1:27" x14ac:dyDescent="0.35">
      <c r="A38" s="5">
        <v>29</v>
      </c>
      <c r="B38" t="s">
        <v>60</v>
      </c>
      <c r="C38" s="21">
        <v>83</v>
      </c>
      <c r="D38" s="21">
        <v>86</v>
      </c>
      <c r="E38" s="5"/>
      <c r="F38" s="7"/>
      <c r="G38" s="7"/>
      <c r="H38" s="21">
        <v>84</v>
      </c>
      <c r="I38" s="21">
        <v>88</v>
      </c>
      <c r="J38" s="5"/>
      <c r="K38" s="5"/>
      <c r="L38" s="5"/>
      <c r="M38" s="21">
        <v>94</v>
      </c>
      <c r="N38" s="17">
        <f t="shared" si="0"/>
        <v>85</v>
      </c>
      <c r="O38" s="17">
        <f t="shared" si="1"/>
        <v>86.875</v>
      </c>
      <c r="P38" s="8">
        <f t="shared" si="2"/>
        <v>88.356250000000003</v>
      </c>
      <c r="R38" s="6"/>
    </row>
    <row r="39" spans="1:27" x14ac:dyDescent="0.35">
      <c r="A39" s="5">
        <v>30</v>
      </c>
      <c r="B39" t="s">
        <v>61</v>
      </c>
      <c r="C39" s="21">
        <v>84</v>
      </c>
      <c r="D39" s="21">
        <v>87</v>
      </c>
      <c r="E39" s="10"/>
      <c r="F39" s="10"/>
      <c r="G39" s="10"/>
      <c r="H39" s="21">
        <v>85</v>
      </c>
      <c r="I39" s="21">
        <v>90</v>
      </c>
      <c r="J39" s="10"/>
      <c r="K39" s="10"/>
      <c r="L39" s="10"/>
      <c r="M39" s="21">
        <v>90</v>
      </c>
      <c r="N39" s="17">
        <f t="shared" si="0"/>
        <v>85.166666666666671</v>
      </c>
      <c r="O39" s="17">
        <f t="shared" si="1"/>
        <v>87.166666666666671</v>
      </c>
      <c r="P39" s="8">
        <f t="shared" si="2"/>
        <v>87.316666666666677</v>
      </c>
      <c r="Q39" s="3"/>
      <c r="R39" s="3"/>
      <c r="X39" s="9"/>
      <c r="AA39" s="9"/>
    </row>
    <row r="40" spans="1:27" x14ac:dyDescent="0.35">
      <c r="A40" s="5">
        <v>31</v>
      </c>
      <c r="B40" t="s">
        <v>62</v>
      </c>
      <c r="C40" s="21">
        <v>84</v>
      </c>
      <c r="D40" s="21">
        <v>87</v>
      </c>
      <c r="E40" s="10"/>
      <c r="F40" s="10"/>
      <c r="G40" s="10"/>
      <c r="H40" s="21">
        <v>85</v>
      </c>
      <c r="I40" s="21">
        <v>90</v>
      </c>
      <c r="J40" s="10"/>
      <c r="K40" s="10"/>
      <c r="L40" s="10"/>
      <c r="M40" s="21">
        <v>82</v>
      </c>
      <c r="N40" s="17">
        <f t="shared" si="0"/>
        <v>85</v>
      </c>
      <c r="O40" s="17">
        <f t="shared" si="1"/>
        <v>87</v>
      </c>
      <c r="P40" s="8">
        <f t="shared" si="2"/>
        <v>84.8</v>
      </c>
      <c r="Q40" s="3"/>
      <c r="R40" s="3"/>
    </row>
    <row r="41" spans="1:27" x14ac:dyDescent="0.35">
      <c r="A41" s="5">
        <v>32</v>
      </c>
      <c r="B41" t="s">
        <v>63</v>
      </c>
      <c r="C41" s="21">
        <v>83</v>
      </c>
      <c r="D41" s="21">
        <v>86</v>
      </c>
      <c r="E41" s="4"/>
      <c r="F41" s="4"/>
      <c r="G41" s="4"/>
      <c r="H41" s="21">
        <v>84</v>
      </c>
      <c r="I41" s="21">
        <v>89</v>
      </c>
      <c r="J41" s="4"/>
      <c r="K41" s="4"/>
      <c r="L41" s="4"/>
      <c r="M41" s="21">
        <v>90</v>
      </c>
      <c r="N41" s="17">
        <f t="shared" si="0"/>
        <v>84.5</v>
      </c>
      <c r="O41" s="17">
        <f t="shared" si="1"/>
        <v>86.5</v>
      </c>
      <c r="P41" s="8">
        <f t="shared" si="2"/>
        <v>86.85</v>
      </c>
      <c r="Q41" s="3"/>
      <c r="R41" s="3"/>
    </row>
    <row r="42" spans="1:27" x14ac:dyDescent="0.35">
      <c r="A42" s="5">
        <v>33</v>
      </c>
      <c r="C42" s="21"/>
      <c r="D42" s="21"/>
      <c r="E42" s="4"/>
      <c r="F42" s="4"/>
      <c r="G42" s="4"/>
      <c r="H42" s="21"/>
      <c r="I42" s="21"/>
      <c r="J42" s="4"/>
      <c r="K42" s="4"/>
      <c r="L42" s="4"/>
      <c r="M42" s="21"/>
      <c r="N42" s="17"/>
      <c r="O42" s="17"/>
      <c r="P42" s="8"/>
      <c r="Q42" s="3"/>
      <c r="R42" s="3"/>
    </row>
    <row r="43" spans="1:27" x14ac:dyDescent="0.35">
      <c r="A43" s="5">
        <v>34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0"/>
      <c r="O43" s="4"/>
      <c r="P43" s="8">
        <f t="shared" si="2"/>
        <v>0</v>
      </c>
      <c r="Q43" s="3"/>
      <c r="R43" s="3"/>
    </row>
    <row r="44" spans="1:27" x14ac:dyDescent="0.35">
      <c r="A44" s="5">
        <v>35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0"/>
      <c r="O44" s="4"/>
      <c r="P44" s="8">
        <f t="shared" si="2"/>
        <v>0</v>
      </c>
      <c r="Q44" s="3"/>
      <c r="R44" s="3"/>
    </row>
    <row r="45" spans="1:27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  <c r="P45" s="3"/>
      <c r="Q45" s="3"/>
      <c r="R45" s="3"/>
    </row>
    <row r="47" spans="1:27" x14ac:dyDescent="0.35">
      <c r="N47" s="2" t="s">
        <v>22</v>
      </c>
    </row>
    <row r="48" spans="1:27" x14ac:dyDescent="0.35">
      <c r="N48" s="2" t="s">
        <v>13</v>
      </c>
    </row>
    <row r="49" spans="14:14" x14ac:dyDescent="0.35">
      <c r="N49" s="2"/>
    </row>
    <row r="50" spans="14:14" x14ac:dyDescent="0.35">
      <c r="N50" s="2"/>
    </row>
    <row r="51" spans="14:14" x14ac:dyDescent="0.35">
      <c r="N51" s="2" t="s">
        <v>31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Granit</vt:lpstr>
      <vt:lpstr>Topaz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2022-12-13T01:59:23Z</dcterms:created>
  <dcterms:modified xsi:type="dcterms:W3CDTF">2026-10-27T09:33:10Z</dcterms:modified>
</cp:coreProperties>
</file>