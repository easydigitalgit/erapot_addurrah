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KN Hadist dan PAI STS Ganjil 2026-2027\Granit\"/>
    </mc:Choice>
  </mc:AlternateContent>
  <xr:revisionPtr revIDLastSave="0" documentId="13_ncr:1_{BA669378-DE99-424D-B2A5-72147DE021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9" l="1"/>
  <c r="H40" i="9"/>
  <c r="H41" i="9"/>
  <c r="J41" i="9"/>
  <c r="I40" i="9"/>
  <c r="J40" i="9" s="1"/>
  <c r="I39" i="9"/>
  <c r="H39" i="9"/>
  <c r="J39" i="9" s="1"/>
  <c r="I38" i="9"/>
  <c r="H38" i="9"/>
  <c r="J38" i="9" s="1"/>
  <c r="I37" i="9"/>
  <c r="H37" i="9"/>
  <c r="J37" i="9" s="1"/>
  <c r="I36" i="9"/>
  <c r="H36" i="9"/>
  <c r="J36" i="9" s="1"/>
  <c r="H10" i="9"/>
  <c r="I11" i="9" l="1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11" i="9"/>
  <c r="I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10" i="9"/>
</calcChain>
</file>

<file path=xl/sharedStrings.xml><?xml version="1.0" encoding="utf-8"?>
<sst xmlns="http://schemas.openxmlformats.org/spreadsheetml/2006/main" count="64" uniqueCount="63">
  <si>
    <t xml:space="preserve">KELAS </t>
  </si>
  <si>
    <t>MATA PELAJARAN</t>
  </si>
  <si>
    <t>NO</t>
  </si>
  <si>
    <t xml:space="preserve">NAMA </t>
  </si>
  <si>
    <t>LM 1</t>
  </si>
  <si>
    <t>LM 2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</si>
  <si>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</si>
  <si>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</si>
  <si>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</si>
  <si>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</si>
  <si>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</si>
  <si>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</si>
  <si>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</si>
  <si>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</si>
  <si>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</si>
  <si>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</si>
  <si>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</si>
  <si>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</si>
  <si>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</si>
  <si>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</si>
  <si>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Medan,     Januari 2026</t>
  </si>
  <si>
    <t>STS</t>
  </si>
  <si>
    <t>RATA-RATA</t>
  </si>
  <si>
    <t>FORMATIF / NH</t>
  </si>
  <si>
    <t>FORMATIF / UH</t>
  </si>
  <si>
    <t>NH</t>
  </si>
  <si>
    <t>UH</t>
  </si>
  <si>
    <t>_________________________</t>
  </si>
  <si>
    <t>: STS Ganjil</t>
  </si>
  <si>
    <t>Abid Zuhair</t>
  </si>
  <si>
    <t>AHMAD OKA AL FATIH</t>
  </si>
  <si>
    <t>AHYA MAULIDAN</t>
  </si>
  <si>
    <t>AKIL ZAYDAN RAHMANA</t>
  </si>
  <si>
    <t>Arga Reyhan Bahari</t>
  </si>
  <si>
    <t>ARKAAN FAIZ</t>
  </si>
  <si>
    <t>ARYAN IHTISYAM ADHA</t>
  </si>
  <si>
    <t>AUFAR ALFARIZI</t>
  </si>
  <si>
    <t>BARIQ HIJRI AKBAR</t>
  </si>
  <si>
    <t>DAFFI AZMI</t>
  </si>
  <si>
    <t>ELKAN ABSANA TANJUNG</t>
  </si>
  <si>
    <t>Fahrian Haikal Ginting</t>
  </si>
  <si>
    <t>FATHIN ASY - SYAUQI</t>
  </si>
  <si>
    <t>FATIH ELKARIM</t>
  </si>
  <si>
    <t>ISBAH FAJAR HAFIZ</t>
  </si>
  <si>
    <t>KHADAFFI ANWAR</t>
  </si>
  <si>
    <t>M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</si>
  <si>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</si>
  <si>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</si>
  <si>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</si>
  <si>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</si>
  <si>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</si>
  <si>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</si>
  <si>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</si>
  <si>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</si>
  <si>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</si>
  <si>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</si>
  <si>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</si>
  <si>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</si>
  <si>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</si>
  <si>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</si>
  <si>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</si>
  <si>
    <t>:  Granit</t>
  </si>
  <si>
    <t>: 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</si>
</sst>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Calibri"/>
      <scheme val="minor"/>
    </font>
    <font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4" fillId="3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9" fillId="8" borderId="6" xfId="0" applyNumberFormat="1" applyFont="1" applyFill="1" applyBorder="1" applyAlignment="1">
      <alignment horizontal="center" vertical="center"/>
    </xf>
    <xf numFmtId="1" fontId="9" fillId="9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10" fillId="9" borderId="6" xfId="0" applyNumberFormat="1" applyFont="1" applyFill="1" applyBorder="1" applyAlignment="1">
      <alignment horizontal="center" vertical="center"/>
    </xf>
    <xf numFmtId="1" fontId="10" fillId="8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6" xfId="0" applyBorder="1"/>
  </cellXfs>
  <cellStyles count="3">
    <cellStyle name="Normal" xfId="0" builtinId="0"/>
    <cellStyle name="Normal 2" xfId="1" xr:uid="{1D79AC1F-84D7-4D60-AD4A-CC49CBEEF579}"/>
    <cellStyle name="Normal 3" xfId="2" xr:uid="{EECA482B-95FE-400C-AD25-99217767CCA3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9A72-FAE7-4736-9064-8ECBF2E2B5C9}">
  <dimension ref="A1:U50"/>
  <sheetViews>
    <sheetView tabSelected="1" topLeftCell="A20" zoomScale="90" zoomScaleNormal="90" workbookViewId="0">
      <selection activeCell="M39" sqref="M39"/>
    </sheetView>
  </sheetViews>
  <sheetFormatPr defaultRowHeight="15" x14ac:dyDescent="0.25"/>
  <cols>
    <col min="2" max="2" width="40.140625" customWidth="1"/>
    <col min="3" max="3" width="15" customWidth="1"/>
    <col min="4" max="4" width="14" customWidth="1"/>
    <col min="5" max="5" width="13" customWidth="1"/>
    <col min="6" max="6" width="13.140625" customWidth="1"/>
    <col min="7" max="7" width="14" style="19" customWidth="1"/>
    <col min="8" max="8" width="10.7109375" customWidth="1"/>
    <col min="9" max="9" width="12.85546875" customWidth="1"/>
    <col min="10" max="10" width="24.140625" customWidth="1"/>
    <col min="17" max="17" width="11.5703125" customWidth="1"/>
    <col min="19" max="19" width="28.42578125" customWidth="1"/>
  </cols>
  <sheetData>
    <row r="1" spans="1:12" ht="18.75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3"/>
      <c r="L1" s="3"/>
    </row>
    <row r="2" spans="1:12" ht="18.75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</row>
    <row r="3" spans="1:12" x14ac:dyDescent="0.25">
      <c r="A3" s="3"/>
      <c r="B3" s="3"/>
      <c r="C3" s="3"/>
      <c r="D3" s="3"/>
      <c r="E3" s="3"/>
      <c r="F3" s="3"/>
      <c r="G3" s="17"/>
      <c r="H3" s="3"/>
      <c r="I3" s="3"/>
      <c r="J3" s="3"/>
      <c r="K3" s="3"/>
      <c r="L3" s="3"/>
    </row>
    <row r="4" spans="1:12" x14ac:dyDescent="0.25">
      <c r="A4" s="2" t="s">
        <v>0</v>
      </c>
      <c r="B4" s="3"/>
      <c r="C4" s="2" t="s">
        <v>61</v>
      </c>
      <c r="D4" s="3"/>
      <c r="E4" s="3"/>
      <c r="F4" s="3"/>
      <c r="G4" s="17"/>
      <c r="H4" s="3"/>
      <c r="I4" s="3"/>
      <c r="J4" s="3"/>
      <c r="K4" s="3"/>
      <c r="L4" s="3"/>
    </row>
    <row r="5" spans="1:12" x14ac:dyDescent="0.25">
      <c r="A5" s="2" t="s">
        <v>1</v>
      </c>
      <c r="B5" s="3"/>
      <c r="C5" s="2" t="s">
        <v>62</v>
      </c>
      <c r="D5" s="3"/>
      <c r="E5" s="3"/>
      <c r="F5" s="3"/>
      <c r="G5" s="17"/>
      <c r="H5" s="3"/>
      <c r="I5" s="3"/>
      <c r="J5" s="3"/>
      <c r="K5" s="3"/>
      <c r="L5" s="3"/>
    </row>
    <row r="6" spans="1:12" x14ac:dyDescent="0.25">
      <c r="A6" s="2" t="s">
        <v>13</v>
      </c>
      <c r="B6" s="3"/>
      <c r="C6" s="2" t="s">
        <v>28</v>
      </c>
      <c r="D6" s="3"/>
      <c r="E6" s="3"/>
      <c r="F6" s="3"/>
      <c r="G6" s="17"/>
      <c r="H6" s="3"/>
      <c r="I6" s="3"/>
      <c r="J6" s="3"/>
      <c r="K6" s="3"/>
      <c r="L6" s="3"/>
    </row>
    <row r="7" spans="1:12" x14ac:dyDescent="0.25">
      <c r="A7" s="2"/>
      <c r="B7" s="3"/>
      <c r="C7" s="3"/>
      <c r="D7" s="3"/>
      <c r="E7" s="3"/>
      <c r="F7" s="3"/>
      <c r="G7" s="17"/>
      <c r="H7" s="3"/>
      <c r="I7" s="3"/>
      <c r="J7" s="3"/>
      <c r="K7" s="3"/>
      <c r="L7" s="3"/>
    </row>
    <row r="8" spans="1:12" ht="15.6" customHeight="1" x14ac:dyDescent="0.25">
      <c r="A8" s="32" t="s">
        <v>2</v>
      </c>
      <c r="B8" s="33" t="s">
        <v>3</v>
      </c>
      <c r="C8" s="28" t="s">
        <v>23</v>
      </c>
      <c r="D8" s="29"/>
      <c r="E8" s="26" t="s">
        <v>24</v>
      </c>
      <c r="F8" s="27"/>
      <c r="G8" s="16" t="s">
        <v>7</v>
      </c>
      <c r="H8" s="30" t="s">
        <v>22</v>
      </c>
      <c r="I8" s="31"/>
      <c r="J8" s="13" t="s">
        <v>8</v>
      </c>
      <c r="L8" s="1" t="s">
        <v>14</v>
      </c>
    </row>
    <row r="9" spans="1:12" ht="14.45" customHeight="1" x14ac:dyDescent="0.25">
      <c r="A9" s="32"/>
      <c r="B9" s="33"/>
      <c r="C9" s="10" t="s">
        <v>4</v>
      </c>
      <c r="D9" s="10" t="s">
        <v>5</v>
      </c>
      <c r="E9" s="11" t="s">
        <v>4</v>
      </c>
      <c r="F9" s="11" t="s">
        <v>6</v>
      </c>
      <c r="G9" s="16" t="s">
        <v>21</v>
      </c>
      <c r="H9" s="12" t="s">
        <v>25</v>
      </c>
      <c r="I9" s="12" t="s">
        <v>26</v>
      </c>
      <c r="J9" s="14"/>
      <c r="L9" s="2" t="s">
        <v>9</v>
      </c>
    </row>
    <row r="10" spans="1:12" x14ac:dyDescent="0.25">
      <c r="A10" s="5">
        <v>1</v>
      </c>
      <c r="B10" s="34" t="s">
        <v>29</v>
      </c>
      <c r="C10" s="7">
        <v>85</v>
      </c>
      <c r="D10" s="7">
        <v>90</v>
      </c>
      <c r="E10" s="5">
        <v>80</v>
      </c>
      <c r="F10" s="5">
        <v>80</v>
      </c>
      <c r="G10" s="20">
        <v>72</v>
      </c>
      <c r="H10" s="15">
        <f>AVERAGE(C10:D10)</f>
        <v>87.5</v>
      </c>
      <c r="I10" s="15">
        <f>AVERAGE(E10:F10)</f>
        <v>80</v>
      </c>
      <c r="J10" s="7">
        <f>(G10*30/100)+(H10*35/100)+(I10*35/100)</f>
        <v>80.224999999999994</v>
      </c>
      <c r="L10" s="2" t="s">
        <v>15</v>
      </c>
    </row>
    <row r="11" spans="1:12" x14ac:dyDescent="0.25">
      <c r="A11" s="5">
        <v>2</v>
      </c>
      <c r="B11" s="34" t="s">
        <v>30</v>
      </c>
      <c r="C11" s="7">
        <v>80</v>
      </c>
      <c r="D11" s="7">
        <v>90</v>
      </c>
      <c r="E11" s="5">
        <v>90</v>
      </c>
      <c r="F11" s="5">
        <v>90</v>
      </c>
      <c r="G11" s="21">
        <v>61</v>
      </c>
      <c r="H11" s="15">
        <f>AVERAGE(C11:D11)</f>
        <v>85</v>
      </c>
      <c r="I11" s="15">
        <f t="shared" ref="I11:I41" si="0">AVERAGE(E11:F11)</f>
        <v>90</v>
      </c>
      <c r="J11" s="7">
        <f t="shared" ref="J11:J41" si="1">(G11*30/100)+(H11*35/100)+(I11*35/100)</f>
        <v>79.55</v>
      </c>
      <c r="L11" s="2" t="s">
        <v>17</v>
      </c>
    </row>
    <row r="12" spans="1:12" x14ac:dyDescent="0.25">
      <c r="A12" s="5">
        <v>3</v>
      </c>
      <c r="B12" s="34" t="s">
        <v>31</v>
      </c>
      <c r="C12" s="7">
        <v>85</v>
      </c>
      <c r="D12" s="7">
        <v>90</v>
      </c>
      <c r="E12" s="5">
        <v>82</v>
      </c>
      <c r="F12" s="5">
        <v>88</v>
      </c>
      <c r="G12" s="20">
        <v>50</v>
      </c>
      <c r="H12" s="15">
        <f t="shared" ref="H12:H41" si="2">AVERAGE(C12:D12)</f>
        <v>87.5</v>
      </c>
      <c r="I12" s="15">
        <f t="shared" si="0"/>
        <v>85</v>
      </c>
      <c r="J12" s="7">
        <f t="shared" si="1"/>
        <v>75.375</v>
      </c>
      <c r="L12" s="2" t="s">
        <v>18</v>
      </c>
    </row>
    <row r="13" spans="1:12" x14ac:dyDescent="0.25">
      <c r="A13" s="5">
        <v>4</v>
      </c>
      <c r="B13" s="34" t="s">
        <v>32</v>
      </c>
      <c r="C13" s="7">
        <v>90</v>
      </c>
      <c r="D13" s="7">
        <v>90</v>
      </c>
      <c r="E13" s="5">
        <v>84</v>
      </c>
      <c r="F13" s="5">
        <v>93</v>
      </c>
      <c r="G13" s="21">
        <v>68</v>
      </c>
      <c r="H13" s="15">
        <f t="shared" si="2"/>
        <v>90</v>
      </c>
      <c r="I13" s="15">
        <f t="shared" si="0"/>
        <v>88.5</v>
      </c>
      <c r="J13" s="7">
        <f t="shared" si="1"/>
        <v>82.875</v>
      </c>
      <c r="L13" s="2" t="s">
        <v>19</v>
      </c>
    </row>
    <row r="14" spans="1:12" x14ac:dyDescent="0.25">
      <c r="A14" s="5">
        <v>5</v>
      </c>
      <c r="B14" s="34" t="s">
        <v>33</v>
      </c>
      <c r="C14" s="7">
        <v>80</v>
      </c>
      <c r="D14" s="7">
        <v>90</v>
      </c>
      <c r="E14" s="5">
        <v>85</v>
      </c>
      <c r="F14" s="5">
        <v>93</v>
      </c>
      <c r="G14" s="20">
        <v>69</v>
      </c>
      <c r="H14" s="15">
        <f t="shared" si="2"/>
        <v>85</v>
      </c>
      <c r="I14" s="15">
        <f t="shared" si="0"/>
        <v>89</v>
      </c>
      <c r="J14" s="7">
        <f t="shared" si="1"/>
        <v>81.599999999999994</v>
      </c>
      <c r="L14" s="2" t="s">
        <v>10</v>
      </c>
    </row>
    <row r="15" spans="1:12" x14ac:dyDescent="0.25">
      <c r="A15" s="5">
        <v>6</v>
      </c>
      <c r="B15" s="34" t="s">
        <v>34</v>
      </c>
      <c r="C15" s="7">
        <v>93</v>
      </c>
      <c r="D15" s="7">
        <v>90</v>
      </c>
      <c r="E15" s="5">
        <v>84</v>
      </c>
      <c r="F15" s="5">
        <v>88</v>
      </c>
      <c r="G15" s="21">
        <v>43</v>
      </c>
      <c r="H15" s="15">
        <f t="shared" si="2"/>
        <v>91.5</v>
      </c>
      <c r="I15" s="15">
        <f t="shared" si="0"/>
        <v>86</v>
      </c>
      <c r="J15" s="7">
        <f t="shared" si="1"/>
        <v>75.025000000000006</v>
      </c>
      <c r="L15" s="6"/>
    </row>
    <row r="16" spans="1:12" x14ac:dyDescent="0.25">
      <c r="A16" s="5">
        <v>7</v>
      </c>
      <c r="B16" s="34" t="s">
        <v>35</v>
      </c>
      <c r="C16" s="7">
        <v>100</v>
      </c>
      <c r="D16" s="7">
        <v>90</v>
      </c>
      <c r="E16" s="5">
        <v>90</v>
      </c>
      <c r="F16" s="5">
        <v>92</v>
      </c>
      <c r="G16" s="20">
        <v>78</v>
      </c>
      <c r="H16" s="15">
        <f t="shared" si="2"/>
        <v>95</v>
      </c>
      <c r="I16" s="15">
        <f t="shared" si="0"/>
        <v>91</v>
      </c>
      <c r="J16" s="7">
        <f t="shared" si="1"/>
        <v>88.5</v>
      </c>
      <c r="L16" s="6"/>
    </row>
    <row r="17" spans="1:12" x14ac:dyDescent="0.25">
      <c r="A17" s="5">
        <v>8</v>
      </c>
      <c r="B17" s="34" t="s">
        <v>36</v>
      </c>
      <c r="C17" s="7">
        <v>87</v>
      </c>
      <c r="D17" s="7">
        <v>90</v>
      </c>
      <c r="E17" s="5">
        <v>90</v>
      </c>
      <c r="F17" s="5">
        <v>90</v>
      </c>
      <c r="G17" s="21">
        <v>65</v>
      </c>
      <c r="H17" s="15">
        <f t="shared" si="2"/>
        <v>88.5</v>
      </c>
      <c r="I17" s="15">
        <f t="shared" si="0"/>
        <v>90</v>
      </c>
      <c r="J17" s="7">
        <f t="shared" si="1"/>
        <v>81.974999999999994</v>
      </c>
      <c r="L17" s="6"/>
    </row>
    <row r="18" spans="1:12" x14ac:dyDescent="0.25">
      <c r="A18" s="5">
        <v>9</v>
      </c>
      <c r="B18" s="34" t="s">
        <v>37</v>
      </c>
      <c r="C18" s="7">
        <v>100</v>
      </c>
      <c r="D18" s="7">
        <v>90</v>
      </c>
      <c r="E18" s="5">
        <v>90</v>
      </c>
      <c r="F18" s="5">
        <v>86</v>
      </c>
      <c r="G18" s="20">
        <v>48</v>
      </c>
      <c r="H18" s="15">
        <f t="shared" si="2"/>
        <v>95</v>
      </c>
      <c r="I18" s="15">
        <f t="shared" si="0"/>
        <v>88</v>
      </c>
      <c r="J18" s="7">
        <f t="shared" si="1"/>
        <v>78.45</v>
      </c>
      <c r="L18" s="6"/>
    </row>
    <row r="19" spans="1:12" x14ac:dyDescent="0.25">
      <c r="A19" s="5">
        <v>10</v>
      </c>
      <c r="B19" s="34" t="s">
        <v>38</v>
      </c>
      <c r="C19" s="7">
        <v>80</v>
      </c>
      <c r="D19" s="7">
        <v>90</v>
      </c>
      <c r="E19" s="5">
        <v>90</v>
      </c>
      <c r="F19" s="5">
        <v>92</v>
      </c>
      <c r="G19" s="21">
        <v>78</v>
      </c>
      <c r="H19" s="15">
        <f t="shared" si="2"/>
        <v>85</v>
      </c>
      <c r="I19" s="15">
        <f t="shared" si="0"/>
        <v>91</v>
      </c>
      <c r="J19" s="7">
        <f t="shared" si="1"/>
        <v>85</v>
      </c>
      <c r="L19" s="6"/>
    </row>
    <row r="20" spans="1:12" x14ac:dyDescent="0.25">
      <c r="A20" s="5">
        <v>11</v>
      </c>
      <c r="B20" s="34" t="s">
        <v>39</v>
      </c>
      <c r="C20" s="7">
        <v>83</v>
      </c>
      <c r="D20" s="7">
        <v>90</v>
      </c>
      <c r="E20" s="5">
        <v>85</v>
      </c>
      <c r="F20" s="5">
        <v>87</v>
      </c>
      <c r="G20" s="20">
        <v>70</v>
      </c>
      <c r="H20" s="15">
        <f t="shared" si="2"/>
        <v>86.5</v>
      </c>
      <c r="I20" s="15">
        <f t="shared" si="0"/>
        <v>86</v>
      </c>
      <c r="J20" s="7">
        <f t="shared" si="1"/>
        <v>81.375</v>
      </c>
      <c r="L20" s="6"/>
    </row>
    <row r="21" spans="1:12" x14ac:dyDescent="0.25">
      <c r="A21" s="5">
        <v>12</v>
      </c>
      <c r="B21" s="34" t="s">
        <v>40</v>
      </c>
      <c r="C21" s="7">
        <v>80</v>
      </c>
      <c r="D21" s="7">
        <v>90</v>
      </c>
      <c r="E21" s="5">
        <v>84</v>
      </c>
      <c r="F21" s="5">
        <v>85</v>
      </c>
      <c r="G21" s="21">
        <v>58</v>
      </c>
      <c r="H21" s="15">
        <f t="shared" si="2"/>
        <v>85</v>
      </c>
      <c r="I21" s="15">
        <f t="shared" si="0"/>
        <v>84.5</v>
      </c>
      <c r="J21" s="7">
        <f t="shared" si="1"/>
        <v>76.724999999999994</v>
      </c>
      <c r="L21" s="6"/>
    </row>
    <row r="22" spans="1:12" x14ac:dyDescent="0.25">
      <c r="A22" s="5">
        <v>13</v>
      </c>
      <c r="B22" s="34" t="s">
        <v>41</v>
      </c>
      <c r="C22" s="7">
        <v>100</v>
      </c>
      <c r="D22" s="7">
        <v>90</v>
      </c>
      <c r="E22" s="5">
        <v>80</v>
      </c>
      <c r="F22" s="5">
        <v>84</v>
      </c>
      <c r="G22" s="20">
        <v>60</v>
      </c>
      <c r="H22" s="15">
        <f t="shared" si="2"/>
        <v>95</v>
      </c>
      <c r="I22" s="15">
        <f t="shared" si="0"/>
        <v>82</v>
      </c>
      <c r="J22" s="7">
        <f t="shared" si="1"/>
        <v>79.95</v>
      </c>
      <c r="L22" s="6"/>
    </row>
    <row r="23" spans="1:12" x14ac:dyDescent="0.25">
      <c r="A23" s="5">
        <v>14</v>
      </c>
      <c r="B23" s="34" t="s">
        <v>42</v>
      </c>
      <c r="C23" s="7">
        <v>100</v>
      </c>
      <c r="D23" s="7">
        <v>90</v>
      </c>
      <c r="E23" s="5">
        <v>90</v>
      </c>
      <c r="F23" s="5">
        <v>92</v>
      </c>
      <c r="G23" s="21">
        <v>63</v>
      </c>
      <c r="H23" s="15">
        <f t="shared" si="2"/>
        <v>95</v>
      </c>
      <c r="I23" s="15">
        <f t="shared" si="0"/>
        <v>91</v>
      </c>
      <c r="J23" s="7">
        <f t="shared" si="1"/>
        <v>84</v>
      </c>
      <c r="L23" s="6"/>
    </row>
    <row r="24" spans="1:12" x14ac:dyDescent="0.25">
      <c r="A24" s="5">
        <v>15</v>
      </c>
      <c r="B24" s="34" t="s">
        <v>43</v>
      </c>
      <c r="C24" s="7">
        <v>80</v>
      </c>
      <c r="D24" s="7">
        <v>90</v>
      </c>
      <c r="E24" s="5">
        <v>86</v>
      </c>
      <c r="F24" s="9">
        <v>89</v>
      </c>
      <c r="G24" s="20">
        <v>50</v>
      </c>
      <c r="H24" s="15">
        <f t="shared" si="2"/>
        <v>85</v>
      </c>
      <c r="I24" s="15">
        <f t="shared" si="0"/>
        <v>87.5</v>
      </c>
      <c r="J24" s="7">
        <f t="shared" si="1"/>
        <v>75.375</v>
      </c>
      <c r="L24" s="6"/>
    </row>
    <row r="25" spans="1:12" x14ac:dyDescent="0.25">
      <c r="A25" s="5">
        <v>16</v>
      </c>
      <c r="B25" s="34" t="s">
        <v>44</v>
      </c>
      <c r="C25" s="7">
        <v>83</v>
      </c>
      <c r="D25" s="7">
        <v>90</v>
      </c>
      <c r="E25" s="5">
        <v>90</v>
      </c>
      <c r="F25" s="5">
        <v>90</v>
      </c>
      <c r="G25" s="21">
        <v>42</v>
      </c>
      <c r="H25" s="15">
        <f t="shared" si="2"/>
        <v>86.5</v>
      </c>
      <c r="I25" s="15">
        <f t="shared" si="0"/>
        <v>90</v>
      </c>
      <c r="J25" s="7">
        <f t="shared" si="1"/>
        <v>74.375</v>
      </c>
      <c r="L25" s="6"/>
    </row>
    <row r="26" spans="1:12" x14ac:dyDescent="0.25">
      <c r="A26" s="5">
        <v>17</v>
      </c>
      <c r="B26" s="34" t="s">
        <v>45</v>
      </c>
      <c r="C26" s="7">
        <v>70</v>
      </c>
      <c r="D26" s="7">
        <v>90</v>
      </c>
      <c r="E26" s="5">
        <v>80</v>
      </c>
      <c r="F26" s="5">
        <v>85</v>
      </c>
      <c r="G26" s="20">
        <v>44</v>
      </c>
      <c r="H26" s="15">
        <f t="shared" si="2"/>
        <v>80</v>
      </c>
      <c r="I26" s="15">
        <f t="shared" si="0"/>
        <v>82.5</v>
      </c>
      <c r="J26" s="7">
        <f t="shared" si="1"/>
        <v>70.075000000000003</v>
      </c>
      <c r="L26" s="6"/>
    </row>
    <row r="27" spans="1:12" x14ac:dyDescent="0.25">
      <c r="A27" s="5">
        <v>18</v>
      </c>
      <c r="B27" s="34" t="s">
        <v>46</v>
      </c>
      <c r="C27" s="7">
        <v>93</v>
      </c>
      <c r="D27" s="7">
        <v>90</v>
      </c>
      <c r="E27" s="5">
        <v>84</v>
      </c>
      <c r="F27" s="5">
        <v>90</v>
      </c>
      <c r="G27" s="21">
        <v>63</v>
      </c>
      <c r="H27" s="15">
        <f t="shared" si="2"/>
        <v>91.5</v>
      </c>
      <c r="I27" s="15">
        <f t="shared" si="0"/>
        <v>87</v>
      </c>
      <c r="J27" s="7">
        <f t="shared" si="1"/>
        <v>81.375</v>
      </c>
      <c r="L27" s="6"/>
    </row>
    <row r="28" spans="1:12" x14ac:dyDescent="0.25">
      <c r="A28" s="5">
        <v>19</v>
      </c>
      <c r="B28" s="34" t="s">
        <v>47</v>
      </c>
      <c r="C28" s="7">
        <v>80</v>
      </c>
      <c r="D28" s="7">
        <v>90</v>
      </c>
      <c r="E28" s="5">
        <v>80</v>
      </c>
      <c r="F28" s="5">
        <v>89</v>
      </c>
      <c r="G28" s="20">
        <v>50</v>
      </c>
      <c r="H28" s="15">
        <f t="shared" si="2"/>
        <v>85</v>
      </c>
      <c r="I28" s="15">
        <f t="shared" si="0"/>
        <v>84.5</v>
      </c>
      <c r="J28" s="7">
        <f t="shared" si="1"/>
        <v>74.325000000000003</v>
      </c>
      <c r="L28" s="6"/>
    </row>
    <row r="29" spans="1:12" x14ac:dyDescent="0.25">
      <c r="A29" s="5">
        <v>20</v>
      </c>
      <c r="B29" s="34" t="s">
        <v>48</v>
      </c>
      <c r="C29" s="7">
        <v>78</v>
      </c>
      <c r="D29" s="7">
        <v>90</v>
      </c>
      <c r="E29" s="5">
        <v>90</v>
      </c>
      <c r="F29" s="5">
        <v>89</v>
      </c>
      <c r="G29" s="21">
        <v>47</v>
      </c>
      <c r="H29" s="15">
        <f t="shared" si="2"/>
        <v>84</v>
      </c>
      <c r="I29" s="15">
        <f t="shared" si="0"/>
        <v>89.5</v>
      </c>
      <c r="J29" s="7">
        <f t="shared" si="1"/>
        <v>74.825000000000003</v>
      </c>
      <c r="L29" s="6"/>
    </row>
    <row r="30" spans="1:12" x14ac:dyDescent="0.25">
      <c r="A30" s="5">
        <v>21</v>
      </c>
      <c r="B30" s="34" t="s">
        <v>49</v>
      </c>
      <c r="C30" s="7">
        <v>85</v>
      </c>
      <c r="D30" s="7">
        <v>90</v>
      </c>
      <c r="E30" s="5">
        <v>90</v>
      </c>
      <c r="F30" s="5">
        <v>88</v>
      </c>
      <c r="G30" s="20">
        <v>58</v>
      </c>
      <c r="H30" s="15">
        <f t="shared" si="2"/>
        <v>87.5</v>
      </c>
      <c r="I30" s="15">
        <f t="shared" si="0"/>
        <v>89</v>
      </c>
      <c r="J30" s="7">
        <f t="shared" si="1"/>
        <v>79.174999999999997</v>
      </c>
      <c r="L30" s="6"/>
    </row>
    <row r="31" spans="1:12" x14ac:dyDescent="0.25">
      <c r="A31" s="5">
        <v>22</v>
      </c>
      <c r="B31" s="34" t="s">
        <v>50</v>
      </c>
      <c r="C31" s="7">
        <v>100</v>
      </c>
      <c r="D31" s="7">
        <v>90</v>
      </c>
      <c r="E31" s="5">
        <v>85</v>
      </c>
      <c r="F31" s="5">
        <v>95</v>
      </c>
      <c r="G31" s="21">
        <v>60</v>
      </c>
      <c r="H31" s="15">
        <f t="shared" si="2"/>
        <v>95</v>
      </c>
      <c r="I31" s="15">
        <f t="shared" si="0"/>
        <v>90</v>
      </c>
      <c r="J31" s="7">
        <f t="shared" si="1"/>
        <v>82.75</v>
      </c>
      <c r="L31" s="6"/>
    </row>
    <row r="32" spans="1:12" x14ac:dyDescent="0.25">
      <c r="A32" s="5">
        <v>23</v>
      </c>
      <c r="B32" s="34" t="s">
        <v>51</v>
      </c>
      <c r="C32" s="7">
        <v>87</v>
      </c>
      <c r="D32" s="7">
        <v>90</v>
      </c>
      <c r="E32" s="5">
        <v>85</v>
      </c>
      <c r="F32" s="5">
        <v>87</v>
      </c>
      <c r="G32" s="20">
        <v>44</v>
      </c>
      <c r="H32" s="15">
        <f t="shared" si="2"/>
        <v>88.5</v>
      </c>
      <c r="I32" s="15">
        <f t="shared" si="0"/>
        <v>86</v>
      </c>
      <c r="J32" s="7">
        <f t="shared" si="1"/>
        <v>74.275000000000006</v>
      </c>
      <c r="L32" s="6"/>
    </row>
    <row r="33" spans="1:21" x14ac:dyDescent="0.25">
      <c r="A33" s="5">
        <v>24</v>
      </c>
      <c r="B33" s="34" t="s">
        <v>52</v>
      </c>
      <c r="C33" s="7">
        <v>100</v>
      </c>
      <c r="D33" s="7">
        <v>90</v>
      </c>
      <c r="E33" s="5">
        <v>90</v>
      </c>
      <c r="F33" s="5">
        <v>92</v>
      </c>
      <c r="G33" s="21">
        <v>60</v>
      </c>
      <c r="H33" s="15">
        <f t="shared" si="2"/>
        <v>95</v>
      </c>
      <c r="I33" s="15">
        <f t="shared" si="0"/>
        <v>91</v>
      </c>
      <c r="J33" s="7">
        <f t="shared" si="1"/>
        <v>83.1</v>
      </c>
      <c r="L33" s="6"/>
    </row>
    <row r="34" spans="1:21" x14ac:dyDescent="0.25">
      <c r="A34" s="5">
        <v>25</v>
      </c>
      <c r="B34" s="34" t="s">
        <v>53</v>
      </c>
      <c r="C34" s="7">
        <v>83</v>
      </c>
      <c r="D34" s="7">
        <v>90</v>
      </c>
      <c r="E34" s="5">
        <v>90</v>
      </c>
      <c r="F34" s="5">
        <v>93</v>
      </c>
      <c r="G34" s="20">
        <v>45</v>
      </c>
      <c r="H34" s="15">
        <f t="shared" si="2"/>
        <v>86.5</v>
      </c>
      <c r="I34" s="15">
        <f t="shared" si="0"/>
        <v>91.5</v>
      </c>
      <c r="J34" s="7">
        <f t="shared" si="1"/>
        <v>75.8</v>
      </c>
      <c r="L34" s="6"/>
    </row>
    <row r="35" spans="1:21" x14ac:dyDescent="0.25">
      <c r="A35" s="5">
        <v>26</v>
      </c>
      <c r="B35" s="34" t="s">
        <v>54</v>
      </c>
      <c r="C35" s="7">
        <v>100</v>
      </c>
      <c r="D35" s="7">
        <v>90</v>
      </c>
      <c r="E35" s="5">
        <v>84</v>
      </c>
      <c r="F35" s="5">
        <v>88</v>
      </c>
      <c r="G35" s="21">
        <v>68</v>
      </c>
      <c r="H35" s="15">
        <f t="shared" si="2"/>
        <v>95</v>
      </c>
      <c r="I35" s="15">
        <f t="shared" si="0"/>
        <v>86</v>
      </c>
      <c r="J35" s="7">
        <f t="shared" si="1"/>
        <v>83.75</v>
      </c>
      <c r="L35" s="6"/>
    </row>
    <row r="36" spans="1:21" x14ac:dyDescent="0.25">
      <c r="A36" s="5">
        <v>27</v>
      </c>
      <c r="B36" s="34" t="s">
        <v>55</v>
      </c>
      <c r="C36" s="7">
        <v>80</v>
      </c>
      <c r="D36" s="7">
        <v>90</v>
      </c>
      <c r="E36" s="5">
        <v>80</v>
      </c>
      <c r="F36" s="5">
        <v>90</v>
      </c>
      <c r="G36" s="20">
        <v>50</v>
      </c>
      <c r="H36" s="15">
        <f t="shared" si="2"/>
        <v>85</v>
      </c>
      <c r="I36" s="15">
        <f t="shared" si="0"/>
        <v>85</v>
      </c>
      <c r="J36" s="7">
        <f t="shared" si="1"/>
        <v>74.5</v>
      </c>
      <c r="L36" s="6"/>
    </row>
    <row r="37" spans="1:21" x14ac:dyDescent="0.25">
      <c r="A37" s="5">
        <v>28</v>
      </c>
      <c r="B37" s="34" t="s">
        <v>56</v>
      </c>
      <c r="C37" s="7">
        <v>80</v>
      </c>
      <c r="D37" s="7">
        <v>90</v>
      </c>
      <c r="E37" s="5">
        <v>90</v>
      </c>
      <c r="F37" s="5">
        <v>85</v>
      </c>
      <c r="G37" s="21">
        <v>66</v>
      </c>
      <c r="H37" s="15">
        <f t="shared" si="2"/>
        <v>85</v>
      </c>
      <c r="I37" s="15">
        <f t="shared" si="0"/>
        <v>87.5</v>
      </c>
      <c r="J37" s="7">
        <f t="shared" si="1"/>
        <v>80.174999999999997</v>
      </c>
      <c r="L37" s="6"/>
    </row>
    <row r="38" spans="1:21" x14ac:dyDescent="0.25">
      <c r="A38" s="5">
        <v>29</v>
      </c>
      <c r="B38" s="34" t="s">
        <v>57</v>
      </c>
      <c r="C38" s="5">
        <v>93</v>
      </c>
      <c r="D38" s="7">
        <v>90</v>
      </c>
      <c r="E38" s="5">
        <v>84</v>
      </c>
      <c r="F38" s="5">
        <v>92</v>
      </c>
      <c r="G38" s="20">
        <v>70</v>
      </c>
      <c r="H38" s="15">
        <f t="shared" si="2"/>
        <v>91.5</v>
      </c>
      <c r="I38" s="15">
        <f t="shared" si="0"/>
        <v>88</v>
      </c>
      <c r="J38" s="7">
        <f t="shared" si="1"/>
        <v>83.825000000000003</v>
      </c>
      <c r="L38" s="6"/>
    </row>
    <row r="39" spans="1:21" x14ac:dyDescent="0.25">
      <c r="A39" s="5">
        <v>30</v>
      </c>
      <c r="B39" s="34" t="s">
        <v>58</v>
      </c>
      <c r="C39" s="22">
        <v>100</v>
      </c>
      <c r="D39" s="7">
        <v>90</v>
      </c>
      <c r="E39" s="22">
        <v>90</v>
      </c>
      <c r="F39" s="22">
        <v>88</v>
      </c>
      <c r="G39" s="23">
        <v>70</v>
      </c>
      <c r="H39" s="15">
        <f t="shared" si="2"/>
        <v>95</v>
      </c>
      <c r="I39" s="15">
        <f t="shared" si="0"/>
        <v>89</v>
      </c>
      <c r="J39" s="7">
        <f t="shared" si="1"/>
        <v>85.4</v>
      </c>
      <c r="K39" s="3"/>
      <c r="L39" s="3"/>
      <c r="R39" s="8"/>
      <c r="U39" s="8"/>
    </row>
    <row r="40" spans="1:21" x14ac:dyDescent="0.25">
      <c r="A40" s="5">
        <v>31</v>
      </c>
      <c r="B40" s="34" t="s">
        <v>59</v>
      </c>
      <c r="C40" s="22">
        <v>90</v>
      </c>
      <c r="D40" s="7">
        <v>90</v>
      </c>
      <c r="E40" s="22">
        <v>84</v>
      </c>
      <c r="F40" s="22">
        <v>93</v>
      </c>
      <c r="G40" s="24">
        <v>60</v>
      </c>
      <c r="H40" s="15">
        <f t="shared" si="2"/>
        <v>90</v>
      </c>
      <c r="I40" s="15">
        <f t="shared" si="0"/>
        <v>88.5</v>
      </c>
      <c r="J40" s="7">
        <f t="shared" si="1"/>
        <v>80.474999999999994</v>
      </c>
      <c r="K40" s="3"/>
      <c r="L40" s="3"/>
    </row>
    <row r="41" spans="1:21" x14ac:dyDescent="0.25">
      <c r="A41" s="5">
        <v>32</v>
      </c>
      <c r="B41" s="34" t="s">
        <v>60</v>
      </c>
      <c r="C41" s="22">
        <v>85</v>
      </c>
      <c r="D41" s="7">
        <v>90</v>
      </c>
      <c r="E41" s="22">
        <v>85</v>
      </c>
      <c r="F41" s="22">
        <v>89</v>
      </c>
      <c r="G41" s="23">
        <v>58</v>
      </c>
      <c r="H41" s="15">
        <f t="shared" si="2"/>
        <v>87.5</v>
      </c>
      <c r="I41" s="15">
        <f t="shared" si="0"/>
        <v>87</v>
      </c>
      <c r="J41" s="7">
        <f t="shared" si="1"/>
        <v>78.474999999999994</v>
      </c>
      <c r="K41" s="3"/>
      <c r="L41" s="3"/>
    </row>
    <row r="42" spans="1:21" x14ac:dyDescent="0.25">
      <c r="A42" s="5"/>
      <c r="B42" s="4"/>
      <c r="C42" s="22"/>
      <c r="D42" s="22"/>
      <c r="E42" s="22"/>
      <c r="F42" s="22"/>
      <c r="G42" s="18"/>
      <c r="H42" s="15"/>
      <c r="I42" s="15"/>
      <c r="J42" s="7"/>
      <c r="K42" s="3"/>
      <c r="L42" s="3"/>
    </row>
    <row r="43" spans="1:21" x14ac:dyDescent="0.25">
      <c r="A43" s="5"/>
      <c r="B43" s="4"/>
      <c r="C43" s="22"/>
      <c r="D43" s="22"/>
      <c r="E43" s="22"/>
      <c r="F43" s="22"/>
      <c r="G43" s="18"/>
      <c r="H43" s="15"/>
      <c r="I43" s="15"/>
      <c r="J43" s="7"/>
      <c r="K43" s="3"/>
      <c r="L43" s="3"/>
    </row>
    <row r="44" spans="1:21" x14ac:dyDescent="0.25">
      <c r="A44" s="3"/>
      <c r="B44" s="3"/>
      <c r="C44" s="3"/>
      <c r="D44" s="3"/>
      <c r="E44" s="3"/>
      <c r="F44" s="3"/>
      <c r="G44" s="17"/>
      <c r="I44" s="3"/>
      <c r="J44" s="3"/>
      <c r="K44" s="3"/>
      <c r="L44" s="3"/>
    </row>
    <row r="46" spans="1:21" x14ac:dyDescent="0.25">
      <c r="H46" s="2" t="s">
        <v>20</v>
      </c>
    </row>
    <row r="47" spans="1:21" x14ac:dyDescent="0.25">
      <c r="H47" s="2" t="s">
        <v>11</v>
      </c>
    </row>
    <row r="48" spans="1:21" x14ac:dyDescent="0.25">
      <c r="H48" s="2"/>
    </row>
    <row r="49" spans="8:8" x14ac:dyDescent="0.25">
      <c r="H49" s="2"/>
    </row>
    <row r="50" spans="8:8" x14ac:dyDescent="0.25">
      <c r="H50" s="2" t="s">
        <v>27</v>
      </c>
    </row>
  </sheetData>
  <mergeCells count="7">
    <mergeCell ref="A1:J1"/>
    <mergeCell ref="A2:J2"/>
    <mergeCell ref="E8:F8"/>
    <mergeCell ref="C8:D8"/>
    <mergeCell ref="H8:I8"/>
    <mergeCell ref="A8:A9"/>
    <mergeCell ref="B8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2022-12-13T01:59:23Z</dcterms:created>
  <dcterms:modified xsi:type="dcterms:W3CDTF">2026-10-23T17:51:59Z</dcterms:modified>
</cp:coreProperties>
</file>