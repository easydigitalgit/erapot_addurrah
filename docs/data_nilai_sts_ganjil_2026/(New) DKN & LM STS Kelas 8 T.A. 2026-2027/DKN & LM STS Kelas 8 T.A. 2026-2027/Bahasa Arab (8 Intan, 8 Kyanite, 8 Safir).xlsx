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jaran 2026-2027\STS 2026.2027\GANJIL\DKN\"/>
    </mc:Choice>
  </mc:AlternateContent>
  <xr:revisionPtr revIDLastSave="0" documentId="13_ncr:1_{CD7B2CED-ADDC-4423-9D5C-4285989725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AN" sheetId="11" r:id="rId1"/>
    <sheet name="SAFIR" sheetId="12" r:id="rId2"/>
    <sheet name="KYANITE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2" l="1"/>
  <c r="J10" i="12" s="1"/>
  <c r="I31" i="14"/>
  <c r="H31" i="14"/>
  <c r="G31" i="14"/>
  <c r="J31" i="14" s="1"/>
  <c r="I30" i="14"/>
  <c r="H30" i="14"/>
  <c r="G30" i="14"/>
  <c r="J30" i="14" s="1"/>
  <c r="I29" i="14"/>
  <c r="H29" i="14"/>
  <c r="G29" i="14"/>
  <c r="J29" i="14" s="1"/>
  <c r="I28" i="14"/>
  <c r="H28" i="14"/>
  <c r="G28" i="14"/>
  <c r="J28" i="14" s="1"/>
  <c r="I27" i="14"/>
  <c r="H27" i="14"/>
  <c r="G27" i="14"/>
  <c r="I26" i="14"/>
  <c r="H26" i="14"/>
  <c r="G26" i="14"/>
  <c r="J26" i="14" s="1"/>
  <c r="I25" i="14"/>
  <c r="H25" i="14"/>
  <c r="G25" i="14"/>
  <c r="I24" i="14"/>
  <c r="H24" i="14"/>
  <c r="G24" i="14"/>
  <c r="I23" i="14"/>
  <c r="H23" i="14"/>
  <c r="G23" i="14"/>
  <c r="J23" i="14" s="1"/>
  <c r="I22" i="14"/>
  <c r="H22" i="14"/>
  <c r="G22" i="14"/>
  <c r="J22" i="14" s="1"/>
  <c r="I21" i="14"/>
  <c r="H21" i="14"/>
  <c r="G21" i="14"/>
  <c r="J21" i="14" s="1"/>
  <c r="I20" i="14"/>
  <c r="H20" i="14"/>
  <c r="G20" i="14"/>
  <c r="J20" i="14" s="1"/>
  <c r="I19" i="14"/>
  <c r="H19" i="14"/>
  <c r="G19" i="14"/>
  <c r="I18" i="14"/>
  <c r="H18" i="14"/>
  <c r="G18" i="14"/>
  <c r="J18" i="14" s="1"/>
  <c r="I17" i="14"/>
  <c r="H17" i="14"/>
  <c r="G17" i="14"/>
  <c r="I16" i="14"/>
  <c r="H16" i="14"/>
  <c r="G16" i="14"/>
  <c r="I15" i="14"/>
  <c r="H15" i="14"/>
  <c r="G15" i="14"/>
  <c r="J15" i="14" s="1"/>
  <c r="I14" i="14"/>
  <c r="H14" i="14"/>
  <c r="G14" i="14"/>
  <c r="J14" i="14" s="1"/>
  <c r="I13" i="14"/>
  <c r="H13" i="14"/>
  <c r="G13" i="14"/>
  <c r="J13" i="14" s="1"/>
  <c r="I12" i="14"/>
  <c r="H12" i="14"/>
  <c r="G12" i="14"/>
  <c r="J12" i="14" s="1"/>
  <c r="I11" i="14"/>
  <c r="H11" i="14"/>
  <c r="G11" i="14"/>
  <c r="J11" i="14" s="1"/>
  <c r="I10" i="14"/>
  <c r="H10" i="14"/>
  <c r="G10" i="14"/>
  <c r="I31" i="12"/>
  <c r="H31" i="12"/>
  <c r="G31" i="12"/>
  <c r="I30" i="12"/>
  <c r="H30" i="12"/>
  <c r="G30" i="12"/>
  <c r="I29" i="12"/>
  <c r="H29" i="12"/>
  <c r="G29" i="12"/>
  <c r="I28" i="12"/>
  <c r="H28" i="12"/>
  <c r="G28" i="12"/>
  <c r="I27" i="12"/>
  <c r="H27" i="12"/>
  <c r="G27" i="12"/>
  <c r="I26" i="12"/>
  <c r="H26" i="12"/>
  <c r="G26" i="12"/>
  <c r="I25" i="12"/>
  <c r="H25" i="12"/>
  <c r="G25" i="12"/>
  <c r="I24" i="12"/>
  <c r="H24" i="12"/>
  <c r="G24" i="12"/>
  <c r="I23" i="12"/>
  <c r="H23" i="12"/>
  <c r="G23" i="12"/>
  <c r="I22" i="12"/>
  <c r="H22" i="12"/>
  <c r="G22" i="12"/>
  <c r="J22" i="12" s="1"/>
  <c r="I21" i="12"/>
  <c r="H21" i="12"/>
  <c r="G21" i="12"/>
  <c r="I20" i="12"/>
  <c r="H20" i="12"/>
  <c r="G20" i="12"/>
  <c r="I19" i="12"/>
  <c r="H19" i="12"/>
  <c r="G19" i="12"/>
  <c r="J19" i="12" s="1"/>
  <c r="I18" i="12"/>
  <c r="H18" i="12"/>
  <c r="G18" i="12"/>
  <c r="I17" i="12"/>
  <c r="H17" i="12"/>
  <c r="G17" i="12"/>
  <c r="I16" i="12"/>
  <c r="H16" i="12"/>
  <c r="G16" i="12"/>
  <c r="I15" i="12"/>
  <c r="H15" i="12"/>
  <c r="G15" i="12"/>
  <c r="J15" i="12" s="1"/>
  <c r="I14" i="12"/>
  <c r="H14" i="12"/>
  <c r="G14" i="12"/>
  <c r="I13" i="12"/>
  <c r="H13" i="12"/>
  <c r="G13" i="12"/>
  <c r="I12" i="12"/>
  <c r="H12" i="12"/>
  <c r="G12" i="12"/>
  <c r="I11" i="12"/>
  <c r="H11" i="12"/>
  <c r="G11" i="12"/>
  <c r="I10" i="12"/>
  <c r="H10" i="12"/>
  <c r="J27" i="14" l="1"/>
  <c r="J25" i="14"/>
  <c r="J24" i="14"/>
  <c r="J19" i="14"/>
  <c r="J17" i="14"/>
  <c r="J16" i="14"/>
  <c r="J10" i="14"/>
  <c r="J30" i="12"/>
  <c r="J24" i="12"/>
  <c r="J16" i="12"/>
  <c r="J14" i="12"/>
  <c r="J11" i="12"/>
  <c r="J27" i="12"/>
  <c r="J25" i="12"/>
  <c r="J17" i="12"/>
  <c r="J12" i="12"/>
  <c r="J20" i="12"/>
  <c r="J28" i="12"/>
  <c r="J23" i="12"/>
  <c r="J31" i="12"/>
  <c r="J18" i="12"/>
  <c r="J26" i="12"/>
  <c r="J13" i="12"/>
  <c r="J21" i="12"/>
  <c r="J29" i="12"/>
  <c r="G11" i="11" l="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10" i="11"/>
  <c r="I11" i="11" l="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H11" i="11"/>
  <c r="J11" i="11" s="1"/>
  <c r="H12" i="11"/>
  <c r="J12" i="11" s="1"/>
  <c r="H13" i="11"/>
  <c r="H14" i="11"/>
  <c r="J14" i="11" s="1"/>
  <c r="H15" i="11"/>
  <c r="H16" i="11"/>
  <c r="H17" i="11"/>
  <c r="J17" i="11" s="1"/>
  <c r="H18" i="11"/>
  <c r="H19" i="11"/>
  <c r="J19" i="11" s="1"/>
  <c r="H20" i="11"/>
  <c r="J20" i="11" s="1"/>
  <c r="H21" i="11"/>
  <c r="J21" i="11" s="1"/>
  <c r="H22" i="11"/>
  <c r="J22" i="11" s="1"/>
  <c r="H23" i="11"/>
  <c r="H24" i="11"/>
  <c r="H25" i="11"/>
  <c r="J25" i="11" s="1"/>
  <c r="H26" i="11"/>
  <c r="H27" i="11"/>
  <c r="J27" i="11" s="1"/>
  <c r="H28" i="11"/>
  <c r="J28" i="11" s="1"/>
  <c r="H29" i="11"/>
  <c r="J29" i="11" s="1"/>
  <c r="H30" i="11"/>
  <c r="J30" i="11" s="1"/>
  <c r="H31" i="11"/>
  <c r="I10" i="11"/>
  <c r="H10" i="11"/>
  <c r="J10" i="11" l="1"/>
  <c r="J13" i="11"/>
  <c r="J18" i="11"/>
  <c r="J26" i="11"/>
  <c r="J24" i="11"/>
  <c r="J16" i="11"/>
  <c r="J31" i="11"/>
  <c r="J23" i="11"/>
  <c r="J15" i="11"/>
</calcChain>
</file>

<file path=xl/sharedStrings.xml><?xml version="1.0" encoding="utf-8"?>
<sst xmlns="http://schemas.openxmlformats.org/spreadsheetml/2006/main" count="168" uniqueCount="101">
  <si>
    <t xml:space="preserve">KELAS </t>
  </si>
  <si>
    <t>MATA PELAJARAN</t>
  </si>
  <si>
    <t>NO</t>
  </si>
  <si>
    <t xml:space="preserve">NAMA </t>
  </si>
  <si>
    <t>LM 1</t>
  </si>
  <si>
    <t>LM 2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</si>
  <si>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</si>
  <si>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</si>
  <si>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</si>
  <si>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</si>
  <si>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</si>
  <si>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</si>
  <si>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</si>
  <si>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</si>
  <si>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</si>
  <si>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</si>
  <si>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</si>
  <si>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</si>
  <si>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</si>
  <si>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</si>
  <si>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</si>
  <si>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</si>
  <si>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FORMATIF / NH</t>
  </si>
  <si>
    <t>FORMATIF / UH</t>
  </si>
  <si>
    <t>NH</t>
  </si>
  <si>
    <t>UH</t>
  </si>
  <si>
    <t>_________________________</t>
  </si>
  <si>
    <t>: BAHASA ARAB</t>
  </si>
  <si>
    <t>NILAI PG</t>
  </si>
  <si>
    <t>NILAI ESSAI</t>
  </si>
  <si>
    <t>AFIFAH DHIA FADILLAH</t>
  </si>
  <si>
    <t>ALIFIA AJWA</t>
  </si>
  <si>
    <t>AURELIA MUTIARA RAMDANI</t>
  </si>
  <si>
    <t>AZIZAH ZAHRA SIREGAR</t>
  </si>
  <si>
    <t>AZURA FAIRUUS BARDANI</t>
  </si>
  <si>
    <t>FATHINAH KINARA JALIKA</t>
  </si>
  <si>
    <t>INAYA AZMI ATHIFA</t>
  </si>
  <si>
    <t>Keiko Mutiara Zahra</t>
  </si>
  <si>
    <t>Khanza Aya Diyya</t>
  </si>
  <si>
    <t>KHEYSA RASHIFA</t>
  </si>
  <si>
    <t>NAISYAH SALSABILA NUSI</t>
  </si>
  <si>
    <t>NAURA DZAKIYYA SAKHI</t>
  </si>
  <si>
    <t>ORIN FARAH DINA</t>
  </si>
  <si>
    <t>QANITA AQILAH ALFARIZSIH</t>
  </si>
  <si>
    <t>RIZKA ALYA PUTRI</t>
  </si>
  <si>
    <t>SALSABIL SHAFA PRAYOGO</t>
  </si>
  <si>
    <t>SHABRINA HALWA</t>
  </si>
  <si>
    <t>Siti Nafisah Ray</t>
  </si>
  <si>
    <t>SUCI RAMADHANI</t>
  </si>
  <si>
    <t>SUHANA AICA ACSYAH HSB</t>
  </si>
  <si>
    <t>SYAQILLA AULIYANI YOESNAVOSVCKY</t>
  </si>
  <si>
    <t>SYARFINA ANINDYA PUTRI</t>
  </si>
  <si>
    <t>: VIII INTAN</t>
  </si>
  <si>
    <t>: STS GANJIL</t>
  </si>
  <si>
    <t>Medan,  13  Oktober  2026</t>
  </si>
  <si>
    <t>AISYAH RABIUL AWALIYAH PURBA</t>
  </si>
  <si>
    <t>Alifa Nur Zahirah</t>
  </si>
  <si>
    <t>ALYA JAZILA ARANI</t>
  </si>
  <si>
    <t>AMELIA FENETA ZULHAM</t>
  </si>
  <si>
    <t>AQILA AZ ZAHWA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</si>
  <si>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</si>
  <si>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</si>
  <si>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</si>
  <si>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</si>
  <si>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</si>
  <si>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</si>
  <si>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</si>
  <si>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</si>
  <si>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</si>
  <si>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</si>
  <si>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</si>
  <si>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</si>
  <si>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</si>
  <si>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</si>
  <si>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</si>
  <si>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</si>
  <si>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</si>
  <si>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: VIII SAFIR</t>
  </si>
  <si>
    <t>AFIKA HARUMI</t>
  </si>
  <si>
    <t>AFIQAH AZZAHRA</t>
  </si>
  <si>
    <t>ALLYSHA PUTRI WIJAYA</t>
  </si>
  <si>
    <t>AQILA SAHARA</t>
  </si>
  <si>
    <t>Asyifa Naurah Feirus</t>
  </si>
  <si>
    <t>AYLA SHAUFA AZZAHRO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</si>
  <si>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</si>
  <si>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</si>
  <si>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</si>
  <si>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</si>
  <si>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</si>
  <si>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</si>
  <si>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</si>
  <si>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</si>
  <si>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</si>
  <si>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</si>
  <si>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</si>
  <si>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</si>
  <si>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</si>
  <si>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</si>
  <si>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</si>
  <si>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</si>
  <si>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: VIII KYANITE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</si>
</sst>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3937-1517-4006-9D22-F2EA9909FA88}">
  <sheetPr>
    <tabColor rgb="FF00B050"/>
  </sheetPr>
  <dimension ref="A1:N38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defaultRowHeight="14.4" x14ac:dyDescent="0.3"/>
  <cols>
    <col min="2" max="2" width="49.777343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52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53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28</v>
      </c>
      <c r="M8" s="16" t="s">
        <v>29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30</v>
      </c>
      <c r="C10" s="7">
        <v>88</v>
      </c>
      <c r="D10" s="7">
        <v>90</v>
      </c>
      <c r="E10" s="7">
        <v>85</v>
      </c>
      <c r="F10" s="7">
        <v>90</v>
      </c>
      <c r="G10" s="14">
        <f>L10+M10</f>
        <v>63</v>
      </c>
      <c r="H10" s="9">
        <f t="shared" ref="H10:H31" si="0">AVERAGE(C10:D10)</f>
        <v>89</v>
      </c>
      <c r="I10" s="9">
        <f t="shared" ref="I10:I31" si="1">AVERAGE(E10:F10)</f>
        <v>87.5</v>
      </c>
      <c r="J10" s="7">
        <f>(G10*30/100)+(H10*35/100)+(I10*35/100)</f>
        <v>80.674999999999997</v>
      </c>
      <c r="L10" s="13">
        <v>35</v>
      </c>
      <c r="M10" s="13">
        <v>28</v>
      </c>
      <c r="N10" s="2" t="s">
        <v>15</v>
      </c>
    </row>
    <row r="11" spans="1:14" x14ac:dyDescent="0.3">
      <c r="A11" s="5">
        <v>2</v>
      </c>
      <c r="B11" s="4" t="s">
        <v>31</v>
      </c>
      <c r="C11" s="7">
        <v>88</v>
      </c>
      <c r="D11" s="7">
        <v>92</v>
      </c>
      <c r="E11" s="7">
        <v>88</v>
      </c>
      <c r="F11" s="7">
        <v>93</v>
      </c>
      <c r="G11" s="14">
        <f t="shared" ref="G11:G31" si="2">L11+M11</f>
        <v>64</v>
      </c>
      <c r="H11" s="9">
        <f t="shared" si="0"/>
        <v>90</v>
      </c>
      <c r="I11" s="9">
        <f t="shared" si="1"/>
        <v>90.5</v>
      </c>
      <c r="J11" s="7">
        <f t="shared" ref="J11:J31" si="3">(G11*30/100)+(H11*35/100)+(I11*35/100)</f>
        <v>82.375</v>
      </c>
      <c r="L11" s="13">
        <v>29</v>
      </c>
      <c r="M11" s="13">
        <v>35</v>
      </c>
      <c r="N11" s="2" t="s">
        <v>17</v>
      </c>
    </row>
    <row r="12" spans="1:14" x14ac:dyDescent="0.3">
      <c r="A12" s="5">
        <v>3</v>
      </c>
      <c r="B12" s="4" t="s">
        <v>32</v>
      </c>
      <c r="C12" s="7">
        <v>88</v>
      </c>
      <c r="D12" s="7">
        <v>90</v>
      </c>
      <c r="E12" s="7">
        <v>85</v>
      </c>
      <c r="F12" s="7">
        <v>90</v>
      </c>
      <c r="G12" s="14">
        <f t="shared" si="2"/>
        <v>60</v>
      </c>
      <c r="H12" s="9">
        <f t="shared" si="0"/>
        <v>89</v>
      </c>
      <c r="I12" s="9">
        <f t="shared" si="1"/>
        <v>87.5</v>
      </c>
      <c r="J12" s="7">
        <f t="shared" si="3"/>
        <v>79.775000000000006</v>
      </c>
      <c r="L12" s="13">
        <v>30</v>
      </c>
      <c r="M12" s="13">
        <v>30</v>
      </c>
      <c r="N12" s="2" t="s">
        <v>18</v>
      </c>
    </row>
    <row r="13" spans="1:14" x14ac:dyDescent="0.3">
      <c r="A13" s="5">
        <v>4</v>
      </c>
      <c r="B13" s="4" t="s">
        <v>33</v>
      </c>
      <c r="C13" s="7">
        <v>88</v>
      </c>
      <c r="D13" s="7">
        <v>90</v>
      </c>
      <c r="E13" s="7">
        <v>85</v>
      </c>
      <c r="F13" s="7">
        <v>90</v>
      </c>
      <c r="G13" s="14">
        <f t="shared" si="2"/>
        <v>69</v>
      </c>
      <c r="H13" s="9">
        <f t="shared" si="0"/>
        <v>89</v>
      </c>
      <c r="I13" s="9">
        <f t="shared" si="1"/>
        <v>87.5</v>
      </c>
      <c r="J13" s="7">
        <f t="shared" si="3"/>
        <v>82.474999999999994</v>
      </c>
      <c r="L13" s="13">
        <v>44</v>
      </c>
      <c r="M13" s="13">
        <v>25</v>
      </c>
      <c r="N13" s="2" t="s">
        <v>19</v>
      </c>
    </row>
    <row r="14" spans="1:14" x14ac:dyDescent="0.3">
      <c r="A14" s="5">
        <v>5</v>
      </c>
      <c r="B14" s="4" t="s">
        <v>34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60</v>
      </c>
      <c r="H14" s="9">
        <f t="shared" si="0"/>
        <v>89</v>
      </c>
      <c r="I14" s="9">
        <f t="shared" si="1"/>
        <v>87.5</v>
      </c>
      <c r="J14" s="7">
        <f t="shared" si="3"/>
        <v>79.775000000000006</v>
      </c>
      <c r="L14" s="13">
        <v>35</v>
      </c>
      <c r="M14" s="13">
        <v>25</v>
      </c>
      <c r="N14" s="2" t="s">
        <v>10</v>
      </c>
    </row>
    <row r="15" spans="1:14" x14ac:dyDescent="0.3">
      <c r="A15" s="5">
        <v>6</v>
      </c>
      <c r="B15" s="4" t="s">
        <v>35</v>
      </c>
      <c r="C15" s="7">
        <v>90</v>
      </c>
      <c r="D15" s="7">
        <v>98</v>
      </c>
      <c r="E15" s="7">
        <v>92</v>
      </c>
      <c r="F15" s="7">
        <v>98</v>
      </c>
      <c r="G15" s="14">
        <f t="shared" si="2"/>
        <v>96</v>
      </c>
      <c r="H15" s="9">
        <f t="shared" si="0"/>
        <v>94</v>
      </c>
      <c r="I15" s="9">
        <f t="shared" si="1"/>
        <v>95</v>
      </c>
      <c r="J15" s="7">
        <f t="shared" si="3"/>
        <v>94.95</v>
      </c>
      <c r="L15" s="13">
        <v>58</v>
      </c>
      <c r="M15" s="13">
        <v>38</v>
      </c>
      <c r="N15" s="6"/>
    </row>
    <row r="16" spans="1:14" x14ac:dyDescent="0.3">
      <c r="A16" s="5">
        <v>7</v>
      </c>
      <c r="B16" s="4" t="s">
        <v>36</v>
      </c>
      <c r="C16" s="7">
        <v>88</v>
      </c>
      <c r="D16" s="7">
        <v>90</v>
      </c>
      <c r="E16" s="7">
        <v>85</v>
      </c>
      <c r="F16" s="7">
        <v>90</v>
      </c>
      <c r="G16" s="14">
        <f t="shared" si="2"/>
        <v>77</v>
      </c>
      <c r="H16" s="9">
        <f t="shared" si="0"/>
        <v>89</v>
      </c>
      <c r="I16" s="9">
        <f t="shared" si="1"/>
        <v>87.5</v>
      </c>
      <c r="J16" s="7">
        <f t="shared" si="3"/>
        <v>84.875</v>
      </c>
      <c r="L16" s="13">
        <v>40</v>
      </c>
      <c r="M16" s="13">
        <v>37</v>
      </c>
      <c r="N16" s="6"/>
    </row>
    <row r="17" spans="1:14" x14ac:dyDescent="0.3">
      <c r="A17" s="5">
        <v>8</v>
      </c>
      <c r="B17" s="4" t="s">
        <v>37</v>
      </c>
      <c r="C17" s="7">
        <v>90</v>
      </c>
      <c r="D17" s="7">
        <v>92</v>
      </c>
      <c r="E17" s="7">
        <v>90</v>
      </c>
      <c r="F17" s="7">
        <v>92</v>
      </c>
      <c r="G17" s="14">
        <f t="shared" si="2"/>
        <v>68</v>
      </c>
      <c r="H17" s="9">
        <f t="shared" si="0"/>
        <v>91</v>
      </c>
      <c r="I17" s="9">
        <f t="shared" si="1"/>
        <v>91</v>
      </c>
      <c r="J17" s="7">
        <f t="shared" si="3"/>
        <v>84.1</v>
      </c>
      <c r="L17" s="13">
        <v>40</v>
      </c>
      <c r="M17" s="13">
        <v>28</v>
      </c>
      <c r="N17" s="6"/>
    </row>
    <row r="18" spans="1:14" x14ac:dyDescent="0.3">
      <c r="A18" s="5">
        <v>9</v>
      </c>
      <c r="B18" s="4" t="s">
        <v>38</v>
      </c>
      <c r="C18" s="7">
        <v>88</v>
      </c>
      <c r="D18" s="7">
        <v>90</v>
      </c>
      <c r="E18" s="7">
        <v>85</v>
      </c>
      <c r="F18" s="7">
        <v>90</v>
      </c>
      <c r="G18" s="14">
        <f t="shared" si="2"/>
        <v>60</v>
      </c>
      <c r="H18" s="9">
        <f t="shared" si="0"/>
        <v>89</v>
      </c>
      <c r="I18" s="9">
        <f t="shared" si="1"/>
        <v>87.5</v>
      </c>
      <c r="J18" s="7">
        <f t="shared" si="3"/>
        <v>79.775000000000006</v>
      </c>
      <c r="L18" s="13">
        <v>32</v>
      </c>
      <c r="M18" s="13">
        <v>28</v>
      </c>
      <c r="N18" s="6"/>
    </row>
    <row r="19" spans="1:14" x14ac:dyDescent="0.3">
      <c r="A19" s="5">
        <v>10</v>
      </c>
      <c r="B19" s="4" t="s">
        <v>39</v>
      </c>
      <c r="C19" s="7">
        <v>88</v>
      </c>
      <c r="D19" s="7">
        <v>90</v>
      </c>
      <c r="E19" s="7">
        <v>85</v>
      </c>
      <c r="F19" s="7">
        <v>90</v>
      </c>
      <c r="G19" s="14">
        <f t="shared" si="2"/>
        <v>60</v>
      </c>
      <c r="H19" s="9">
        <f t="shared" si="0"/>
        <v>89</v>
      </c>
      <c r="I19" s="9">
        <f t="shared" si="1"/>
        <v>87.5</v>
      </c>
      <c r="J19" s="7">
        <f t="shared" si="3"/>
        <v>79.775000000000006</v>
      </c>
      <c r="L19" s="13">
        <v>32</v>
      </c>
      <c r="M19" s="13">
        <v>28</v>
      </c>
      <c r="N19" s="6"/>
    </row>
    <row r="20" spans="1:14" x14ac:dyDescent="0.3">
      <c r="A20" s="5">
        <v>11</v>
      </c>
      <c r="B20" s="4" t="s">
        <v>40</v>
      </c>
      <c r="C20" s="7">
        <v>80</v>
      </c>
      <c r="D20" s="7">
        <v>90</v>
      </c>
      <c r="E20" s="7">
        <v>85</v>
      </c>
      <c r="F20" s="7">
        <v>90</v>
      </c>
      <c r="G20" s="14">
        <f t="shared" si="2"/>
        <v>67</v>
      </c>
      <c r="H20" s="9">
        <f t="shared" si="0"/>
        <v>85</v>
      </c>
      <c r="I20" s="9">
        <f t="shared" si="1"/>
        <v>87.5</v>
      </c>
      <c r="J20" s="7">
        <f t="shared" si="3"/>
        <v>80.474999999999994</v>
      </c>
      <c r="L20" s="13">
        <v>37</v>
      </c>
      <c r="M20" s="13">
        <v>30</v>
      </c>
      <c r="N20" s="6"/>
    </row>
    <row r="21" spans="1:14" x14ac:dyDescent="0.3">
      <c r="A21" s="5">
        <v>12</v>
      </c>
      <c r="B21" s="4" t="s">
        <v>41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64</v>
      </c>
      <c r="H21" s="9">
        <f t="shared" si="0"/>
        <v>89</v>
      </c>
      <c r="I21" s="9">
        <f t="shared" si="1"/>
        <v>87.5</v>
      </c>
      <c r="J21" s="7">
        <f t="shared" si="3"/>
        <v>80.974999999999994</v>
      </c>
      <c r="L21" s="13">
        <v>34</v>
      </c>
      <c r="M21" s="13">
        <v>30</v>
      </c>
      <c r="N21" s="6"/>
    </row>
    <row r="22" spans="1:14" x14ac:dyDescent="0.3">
      <c r="A22" s="5">
        <v>13</v>
      </c>
      <c r="B22" s="4" t="s">
        <v>42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60</v>
      </c>
      <c r="H22" s="9">
        <f t="shared" si="0"/>
        <v>89</v>
      </c>
      <c r="I22" s="9">
        <f t="shared" si="1"/>
        <v>87.5</v>
      </c>
      <c r="J22" s="7">
        <f t="shared" si="3"/>
        <v>79.775000000000006</v>
      </c>
      <c r="L22" s="13">
        <v>35</v>
      </c>
      <c r="M22" s="13">
        <v>25</v>
      </c>
      <c r="N22" s="6"/>
    </row>
    <row r="23" spans="1:14" x14ac:dyDescent="0.3">
      <c r="A23" s="5">
        <v>14</v>
      </c>
      <c r="B23" s="4" t="s">
        <v>43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84</v>
      </c>
      <c r="H23" s="9">
        <f t="shared" si="0"/>
        <v>89</v>
      </c>
      <c r="I23" s="9">
        <f t="shared" si="1"/>
        <v>87.5</v>
      </c>
      <c r="J23" s="7">
        <f t="shared" si="3"/>
        <v>86.974999999999994</v>
      </c>
      <c r="L23" s="13">
        <v>52</v>
      </c>
      <c r="M23" s="13">
        <v>32</v>
      </c>
      <c r="N23" s="6"/>
    </row>
    <row r="24" spans="1:14" x14ac:dyDescent="0.3">
      <c r="A24" s="5">
        <v>15</v>
      </c>
      <c r="B24" s="4" t="s">
        <v>44</v>
      </c>
      <c r="C24" s="7">
        <v>88</v>
      </c>
      <c r="D24" s="7">
        <v>90</v>
      </c>
      <c r="E24" s="7">
        <v>85</v>
      </c>
      <c r="F24" s="7">
        <v>90</v>
      </c>
      <c r="G24" s="14">
        <f t="shared" si="2"/>
        <v>62</v>
      </c>
      <c r="H24" s="9">
        <f t="shared" si="0"/>
        <v>89</v>
      </c>
      <c r="I24" s="9">
        <f t="shared" si="1"/>
        <v>87.5</v>
      </c>
      <c r="J24" s="7">
        <f t="shared" si="3"/>
        <v>80.375</v>
      </c>
      <c r="L24" s="13">
        <v>34</v>
      </c>
      <c r="M24" s="13">
        <v>28</v>
      </c>
      <c r="N24" s="6"/>
    </row>
    <row r="25" spans="1:14" x14ac:dyDescent="0.3">
      <c r="A25" s="5">
        <v>16</v>
      </c>
      <c r="B25" s="4" t="s">
        <v>45</v>
      </c>
      <c r="C25" s="7">
        <v>88</v>
      </c>
      <c r="D25" s="7">
        <v>90</v>
      </c>
      <c r="E25" s="7">
        <v>85</v>
      </c>
      <c r="F25" s="7">
        <v>90</v>
      </c>
      <c r="G25" s="14">
        <f t="shared" si="2"/>
        <v>65</v>
      </c>
      <c r="H25" s="9">
        <f t="shared" si="0"/>
        <v>89</v>
      </c>
      <c r="I25" s="9">
        <f t="shared" si="1"/>
        <v>87.5</v>
      </c>
      <c r="J25" s="7">
        <f t="shared" si="3"/>
        <v>81.275000000000006</v>
      </c>
      <c r="L25" s="13">
        <v>40</v>
      </c>
      <c r="M25" s="13">
        <v>25</v>
      </c>
      <c r="N25" s="6"/>
    </row>
    <row r="26" spans="1:14" x14ac:dyDescent="0.3">
      <c r="A26" s="5">
        <v>17</v>
      </c>
      <c r="B26" s="4" t="s">
        <v>46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60</v>
      </c>
      <c r="H26" s="9">
        <f t="shared" si="0"/>
        <v>89</v>
      </c>
      <c r="I26" s="9">
        <f t="shared" si="1"/>
        <v>87.5</v>
      </c>
      <c r="J26" s="7">
        <f t="shared" si="3"/>
        <v>79.775000000000006</v>
      </c>
      <c r="L26" s="13">
        <v>35</v>
      </c>
      <c r="M26" s="13">
        <v>25</v>
      </c>
      <c r="N26" s="6"/>
    </row>
    <row r="27" spans="1:14" x14ac:dyDescent="0.3">
      <c r="A27" s="5">
        <v>18</v>
      </c>
      <c r="B27" s="4" t="s">
        <v>47</v>
      </c>
      <c r="C27" s="7">
        <v>88</v>
      </c>
      <c r="D27" s="7">
        <v>90</v>
      </c>
      <c r="E27" s="7">
        <v>85</v>
      </c>
      <c r="F27" s="7">
        <v>90</v>
      </c>
      <c r="G27" s="14">
        <f t="shared" si="2"/>
        <v>67</v>
      </c>
      <c r="H27" s="9">
        <f t="shared" si="0"/>
        <v>89</v>
      </c>
      <c r="I27" s="9">
        <f t="shared" si="1"/>
        <v>87.5</v>
      </c>
      <c r="J27" s="7">
        <f t="shared" si="3"/>
        <v>81.875</v>
      </c>
      <c r="L27" s="13">
        <v>37</v>
      </c>
      <c r="M27" s="13">
        <v>30</v>
      </c>
      <c r="N27" s="6"/>
    </row>
    <row r="28" spans="1:14" x14ac:dyDescent="0.3">
      <c r="A28" s="5">
        <v>19</v>
      </c>
      <c r="B28" s="4" t="s">
        <v>48</v>
      </c>
      <c r="C28" s="7">
        <v>88</v>
      </c>
      <c r="D28" s="7">
        <v>90</v>
      </c>
      <c r="E28" s="7">
        <v>85</v>
      </c>
      <c r="F28" s="7">
        <v>90</v>
      </c>
      <c r="G28" s="14">
        <f t="shared" si="2"/>
        <v>62</v>
      </c>
      <c r="H28" s="9">
        <f t="shared" si="0"/>
        <v>89</v>
      </c>
      <c r="I28" s="9">
        <f t="shared" si="1"/>
        <v>87.5</v>
      </c>
      <c r="J28" s="7">
        <f t="shared" si="3"/>
        <v>80.375</v>
      </c>
      <c r="L28" s="13">
        <v>35</v>
      </c>
      <c r="M28" s="13">
        <v>27</v>
      </c>
      <c r="N28" s="6"/>
    </row>
    <row r="29" spans="1:14" x14ac:dyDescent="0.3">
      <c r="A29" s="5">
        <v>20</v>
      </c>
      <c r="B29" s="4" t="s">
        <v>49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60</v>
      </c>
      <c r="H29" s="9">
        <f t="shared" si="0"/>
        <v>89</v>
      </c>
      <c r="I29" s="9">
        <f t="shared" si="1"/>
        <v>87.5</v>
      </c>
      <c r="J29" s="7">
        <f t="shared" si="3"/>
        <v>79.775000000000006</v>
      </c>
      <c r="L29" s="13">
        <v>35</v>
      </c>
      <c r="M29" s="13">
        <v>25</v>
      </c>
      <c r="N29" s="6"/>
    </row>
    <row r="30" spans="1:14" x14ac:dyDescent="0.3">
      <c r="A30" s="5">
        <v>21</v>
      </c>
      <c r="B30" s="4" t="s">
        <v>50</v>
      </c>
      <c r="C30" s="7">
        <v>88</v>
      </c>
      <c r="D30" s="7">
        <v>90</v>
      </c>
      <c r="E30" s="7">
        <v>85</v>
      </c>
      <c r="F30" s="7">
        <v>90</v>
      </c>
      <c r="G30" s="14">
        <f t="shared" si="2"/>
        <v>66</v>
      </c>
      <c r="H30" s="9">
        <f t="shared" si="0"/>
        <v>89</v>
      </c>
      <c r="I30" s="9">
        <f t="shared" si="1"/>
        <v>87.5</v>
      </c>
      <c r="J30" s="7">
        <f t="shared" si="3"/>
        <v>81.575000000000003</v>
      </c>
      <c r="L30" s="13">
        <v>37</v>
      </c>
      <c r="M30" s="13">
        <v>29</v>
      </c>
      <c r="N30" s="6"/>
    </row>
    <row r="31" spans="1:14" x14ac:dyDescent="0.3">
      <c r="A31" s="5">
        <v>22</v>
      </c>
      <c r="B31" s="4" t="s">
        <v>51</v>
      </c>
      <c r="C31" s="7">
        <v>88</v>
      </c>
      <c r="D31" s="7">
        <v>90</v>
      </c>
      <c r="E31" s="7">
        <v>85</v>
      </c>
      <c r="F31" s="7">
        <v>90</v>
      </c>
      <c r="G31" s="14">
        <f t="shared" si="2"/>
        <v>70</v>
      </c>
      <c r="H31" s="9">
        <f t="shared" si="0"/>
        <v>89</v>
      </c>
      <c r="I31" s="9">
        <f t="shared" si="1"/>
        <v>87.5</v>
      </c>
      <c r="J31" s="7">
        <f t="shared" si="3"/>
        <v>82.775000000000006</v>
      </c>
      <c r="L31" s="13">
        <v>38</v>
      </c>
      <c r="M31" s="13">
        <v>32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54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7E6D-CE96-464F-A5E2-06D4B98A0491}">
  <sheetPr>
    <tabColor rgb="FF00B050"/>
  </sheetPr>
  <dimension ref="A1:N38"/>
  <sheetViews>
    <sheetView zoomScale="96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2" sqref="L2"/>
    </sheetView>
  </sheetViews>
  <sheetFormatPr defaultRowHeight="14.4" x14ac:dyDescent="0.3"/>
  <cols>
    <col min="2" max="2" width="49.777343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77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53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28</v>
      </c>
      <c r="M8" s="16" t="s">
        <v>29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55</v>
      </c>
      <c r="C10" s="7">
        <v>88</v>
      </c>
      <c r="D10" s="7">
        <v>90</v>
      </c>
      <c r="E10" s="7">
        <v>85</v>
      </c>
      <c r="F10" s="7">
        <v>90</v>
      </c>
      <c r="G10" s="14">
        <f>L10+M10</f>
        <v>64</v>
      </c>
      <c r="H10" s="9">
        <f t="shared" ref="H10:H31" si="0">AVERAGE(C10:D10)</f>
        <v>89</v>
      </c>
      <c r="I10" s="9">
        <f t="shared" ref="I10:I31" si="1">AVERAGE(E10:F10)</f>
        <v>87.5</v>
      </c>
      <c r="J10" s="7">
        <f>(G10*30/100)+(H10*35/100)+(I10*35/100)</f>
        <v>80.974999999999994</v>
      </c>
      <c r="L10" s="13">
        <v>30</v>
      </c>
      <c r="M10" s="13">
        <v>34</v>
      </c>
      <c r="N10" s="2" t="s">
        <v>15</v>
      </c>
    </row>
    <row r="11" spans="1:14" x14ac:dyDescent="0.3">
      <c r="A11" s="5">
        <v>2</v>
      </c>
      <c r="B11" s="4" t="s">
        <v>56</v>
      </c>
      <c r="C11" s="7">
        <v>88</v>
      </c>
      <c r="D11" s="7">
        <v>93</v>
      </c>
      <c r="E11" s="7">
        <v>86</v>
      </c>
      <c r="F11" s="7">
        <v>93</v>
      </c>
      <c r="G11" s="14">
        <f t="shared" ref="G11:G31" si="2">L11+M11</f>
        <v>61</v>
      </c>
      <c r="H11" s="9">
        <f t="shared" si="0"/>
        <v>90.5</v>
      </c>
      <c r="I11" s="9">
        <f t="shared" si="1"/>
        <v>89.5</v>
      </c>
      <c r="J11" s="7">
        <f t="shared" ref="J11:J31" si="3">(G11*30/100)+(H11*35/100)+(I11*35/100)</f>
        <v>81.3</v>
      </c>
      <c r="L11" s="13">
        <v>27</v>
      </c>
      <c r="M11" s="13">
        <v>34</v>
      </c>
      <c r="N11" s="2" t="s">
        <v>17</v>
      </c>
    </row>
    <row r="12" spans="1:14" x14ac:dyDescent="0.3">
      <c r="A12" s="5">
        <v>3</v>
      </c>
      <c r="B12" s="4" t="s">
        <v>57</v>
      </c>
      <c r="C12" s="7">
        <v>88</v>
      </c>
      <c r="D12" s="7">
        <v>92</v>
      </c>
      <c r="E12" s="7">
        <v>85</v>
      </c>
      <c r="F12" s="7">
        <v>92</v>
      </c>
      <c r="G12" s="14">
        <f t="shared" si="2"/>
        <v>58</v>
      </c>
      <c r="H12" s="9">
        <f t="shared" si="0"/>
        <v>90</v>
      </c>
      <c r="I12" s="9">
        <f t="shared" si="1"/>
        <v>88.5</v>
      </c>
      <c r="J12" s="7">
        <f t="shared" si="3"/>
        <v>79.875</v>
      </c>
      <c r="L12" s="13">
        <v>30</v>
      </c>
      <c r="M12" s="13">
        <v>28</v>
      </c>
      <c r="N12" s="2" t="s">
        <v>18</v>
      </c>
    </row>
    <row r="13" spans="1:14" x14ac:dyDescent="0.3">
      <c r="A13" s="5">
        <v>4</v>
      </c>
      <c r="B13" s="4" t="s">
        <v>58</v>
      </c>
      <c r="C13" s="7">
        <v>88</v>
      </c>
      <c r="D13" s="7">
        <v>92</v>
      </c>
      <c r="E13" s="7">
        <v>85</v>
      </c>
      <c r="F13" s="7">
        <v>92</v>
      </c>
      <c r="G13" s="14">
        <f t="shared" si="2"/>
        <v>57</v>
      </c>
      <c r="H13" s="9">
        <f t="shared" si="0"/>
        <v>90</v>
      </c>
      <c r="I13" s="9">
        <f t="shared" si="1"/>
        <v>88.5</v>
      </c>
      <c r="J13" s="7">
        <f t="shared" si="3"/>
        <v>79.575000000000003</v>
      </c>
      <c r="L13" s="13">
        <v>27</v>
      </c>
      <c r="M13" s="13">
        <v>30</v>
      </c>
      <c r="N13" s="2" t="s">
        <v>19</v>
      </c>
    </row>
    <row r="14" spans="1:14" x14ac:dyDescent="0.3">
      <c r="A14" s="5">
        <v>5</v>
      </c>
      <c r="B14" s="4" t="s">
        <v>59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54</v>
      </c>
      <c r="H14" s="9">
        <f t="shared" si="0"/>
        <v>89</v>
      </c>
      <c r="I14" s="9">
        <f t="shared" si="1"/>
        <v>87.5</v>
      </c>
      <c r="J14" s="7">
        <f t="shared" si="3"/>
        <v>77.974999999999994</v>
      </c>
      <c r="L14" s="13">
        <v>30</v>
      </c>
      <c r="M14" s="13">
        <v>24</v>
      </c>
      <c r="N14" s="2" t="s">
        <v>10</v>
      </c>
    </row>
    <row r="15" spans="1:14" x14ac:dyDescent="0.3">
      <c r="A15" s="5">
        <v>6</v>
      </c>
      <c r="B15" s="4" t="s">
        <v>60</v>
      </c>
      <c r="C15" s="7">
        <v>88</v>
      </c>
      <c r="D15" s="7">
        <v>90</v>
      </c>
      <c r="E15" s="7">
        <v>85</v>
      </c>
      <c r="F15" s="7">
        <v>90</v>
      </c>
      <c r="G15" s="14">
        <f t="shared" si="2"/>
        <v>61</v>
      </c>
      <c r="H15" s="9">
        <f t="shared" si="0"/>
        <v>89</v>
      </c>
      <c r="I15" s="9">
        <f t="shared" si="1"/>
        <v>87.5</v>
      </c>
      <c r="J15" s="7">
        <f t="shared" si="3"/>
        <v>80.075000000000003</v>
      </c>
      <c r="L15" s="13">
        <v>30</v>
      </c>
      <c r="M15" s="13">
        <v>31</v>
      </c>
      <c r="N15" s="6"/>
    </row>
    <row r="16" spans="1:14" x14ac:dyDescent="0.3">
      <c r="A16" s="5">
        <v>7</v>
      </c>
      <c r="B16" s="4" t="s">
        <v>61</v>
      </c>
      <c r="C16" s="7">
        <v>88</v>
      </c>
      <c r="D16" s="7">
        <v>94</v>
      </c>
      <c r="E16" s="7">
        <v>87</v>
      </c>
      <c r="F16" s="7">
        <v>94</v>
      </c>
      <c r="G16" s="14">
        <f t="shared" si="2"/>
        <v>56</v>
      </c>
      <c r="H16" s="9">
        <f t="shared" si="0"/>
        <v>91</v>
      </c>
      <c r="I16" s="9">
        <f t="shared" si="1"/>
        <v>90.5</v>
      </c>
      <c r="J16" s="7">
        <f t="shared" si="3"/>
        <v>80.325000000000003</v>
      </c>
      <c r="L16" s="13">
        <v>26</v>
      </c>
      <c r="M16" s="13">
        <v>30</v>
      </c>
      <c r="N16" s="6"/>
    </row>
    <row r="17" spans="1:14" x14ac:dyDescent="0.3">
      <c r="A17" s="5">
        <v>8</v>
      </c>
      <c r="B17" s="4" t="s">
        <v>62</v>
      </c>
      <c r="C17" s="7">
        <v>88</v>
      </c>
      <c r="D17" s="7">
        <v>90</v>
      </c>
      <c r="E17" s="7">
        <v>85</v>
      </c>
      <c r="F17" s="7">
        <v>90</v>
      </c>
      <c r="G17" s="14">
        <f t="shared" si="2"/>
        <v>60</v>
      </c>
      <c r="H17" s="9">
        <f t="shared" si="0"/>
        <v>89</v>
      </c>
      <c r="I17" s="9">
        <f t="shared" si="1"/>
        <v>87.5</v>
      </c>
      <c r="J17" s="7">
        <f t="shared" si="3"/>
        <v>79.775000000000006</v>
      </c>
      <c r="L17" s="13">
        <v>30</v>
      </c>
      <c r="M17" s="13">
        <v>30</v>
      </c>
      <c r="N17" s="6"/>
    </row>
    <row r="18" spans="1:14" x14ac:dyDescent="0.3">
      <c r="A18" s="5">
        <v>9</v>
      </c>
      <c r="B18" s="4" t="s">
        <v>63</v>
      </c>
      <c r="C18" s="7">
        <v>88</v>
      </c>
      <c r="D18" s="7">
        <v>93</v>
      </c>
      <c r="E18" s="7">
        <v>86</v>
      </c>
      <c r="F18" s="7">
        <v>93</v>
      </c>
      <c r="G18" s="14">
        <f t="shared" si="2"/>
        <v>58</v>
      </c>
      <c r="H18" s="9">
        <f t="shared" si="0"/>
        <v>90.5</v>
      </c>
      <c r="I18" s="9">
        <f t="shared" si="1"/>
        <v>89.5</v>
      </c>
      <c r="J18" s="7">
        <f t="shared" si="3"/>
        <v>80.400000000000006</v>
      </c>
      <c r="L18" s="13">
        <v>28</v>
      </c>
      <c r="M18" s="13">
        <v>30</v>
      </c>
      <c r="N18" s="6"/>
    </row>
    <row r="19" spans="1:14" x14ac:dyDescent="0.3">
      <c r="A19" s="5">
        <v>10</v>
      </c>
      <c r="B19" s="4" t="s">
        <v>64</v>
      </c>
      <c r="C19" s="7">
        <v>88</v>
      </c>
      <c r="D19" s="7">
        <v>90</v>
      </c>
      <c r="E19" s="7">
        <v>85</v>
      </c>
      <c r="F19" s="7">
        <v>90</v>
      </c>
      <c r="G19" s="14">
        <f t="shared" si="2"/>
        <v>73</v>
      </c>
      <c r="H19" s="9">
        <f t="shared" si="0"/>
        <v>89</v>
      </c>
      <c r="I19" s="9">
        <f t="shared" si="1"/>
        <v>87.5</v>
      </c>
      <c r="J19" s="7">
        <f t="shared" si="3"/>
        <v>83.674999999999997</v>
      </c>
      <c r="L19" s="13">
        <v>45</v>
      </c>
      <c r="M19" s="13">
        <v>28</v>
      </c>
      <c r="N19" s="6"/>
    </row>
    <row r="20" spans="1:14" x14ac:dyDescent="0.3">
      <c r="A20" s="5">
        <v>11</v>
      </c>
      <c r="B20" s="4" t="s">
        <v>65</v>
      </c>
      <c r="C20" s="7">
        <v>88</v>
      </c>
      <c r="D20" s="7">
        <v>90</v>
      </c>
      <c r="E20" s="7">
        <v>85</v>
      </c>
      <c r="F20" s="7">
        <v>90</v>
      </c>
      <c r="G20" s="14">
        <f t="shared" si="2"/>
        <v>61</v>
      </c>
      <c r="H20" s="9">
        <f t="shared" si="0"/>
        <v>89</v>
      </c>
      <c r="I20" s="9">
        <f t="shared" si="1"/>
        <v>87.5</v>
      </c>
      <c r="J20" s="7">
        <f t="shared" si="3"/>
        <v>80.075000000000003</v>
      </c>
      <c r="L20" s="13">
        <v>38</v>
      </c>
      <c r="M20" s="13">
        <v>23</v>
      </c>
      <c r="N20" s="6"/>
    </row>
    <row r="21" spans="1:14" x14ac:dyDescent="0.3">
      <c r="A21" s="5">
        <v>12</v>
      </c>
      <c r="B21" s="4" t="s">
        <v>66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60</v>
      </c>
      <c r="H21" s="9">
        <f t="shared" si="0"/>
        <v>89</v>
      </c>
      <c r="I21" s="9">
        <f t="shared" si="1"/>
        <v>87.5</v>
      </c>
      <c r="J21" s="7">
        <f t="shared" si="3"/>
        <v>79.775000000000006</v>
      </c>
      <c r="L21" s="13">
        <v>34</v>
      </c>
      <c r="M21" s="13">
        <v>26</v>
      </c>
      <c r="N21" s="6"/>
    </row>
    <row r="22" spans="1:14" x14ac:dyDescent="0.3">
      <c r="A22" s="5">
        <v>13</v>
      </c>
      <c r="B22" s="4" t="s">
        <v>67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80</v>
      </c>
      <c r="H22" s="9">
        <f t="shared" si="0"/>
        <v>89</v>
      </c>
      <c r="I22" s="9">
        <f t="shared" si="1"/>
        <v>87.5</v>
      </c>
      <c r="J22" s="7">
        <f t="shared" si="3"/>
        <v>85.775000000000006</v>
      </c>
      <c r="L22" s="13">
        <v>42</v>
      </c>
      <c r="M22" s="13">
        <v>38</v>
      </c>
      <c r="N22" s="6"/>
    </row>
    <row r="23" spans="1:14" x14ac:dyDescent="0.3">
      <c r="A23" s="5">
        <v>14</v>
      </c>
      <c r="B23" s="4" t="s">
        <v>68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62</v>
      </c>
      <c r="H23" s="9">
        <f t="shared" si="0"/>
        <v>89</v>
      </c>
      <c r="I23" s="9">
        <f t="shared" si="1"/>
        <v>87.5</v>
      </c>
      <c r="J23" s="7">
        <f t="shared" si="3"/>
        <v>80.375</v>
      </c>
      <c r="L23" s="13">
        <v>34</v>
      </c>
      <c r="M23" s="13">
        <v>28</v>
      </c>
      <c r="N23" s="6"/>
    </row>
    <row r="24" spans="1:14" x14ac:dyDescent="0.3">
      <c r="A24" s="5">
        <v>15</v>
      </c>
      <c r="B24" s="4" t="s">
        <v>69</v>
      </c>
      <c r="C24" s="7">
        <v>88</v>
      </c>
      <c r="D24" s="7">
        <v>93</v>
      </c>
      <c r="E24" s="7">
        <v>86</v>
      </c>
      <c r="F24" s="7">
        <v>93</v>
      </c>
      <c r="G24" s="14">
        <f t="shared" si="2"/>
        <v>55</v>
      </c>
      <c r="H24" s="9">
        <f t="shared" si="0"/>
        <v>90.5</v>
      </c>
      <c r="I24" s="9">
        <f t="shared" si="1"/>
        <v>89.5</v>
      </c>
      <c r="J24" s="7">
        <f t="shared" si="3"/>
        <v>79.5</v>
      </c>
      <c r="L24" s="13">
        <v>22</v>
      </c>
      <c r="M24" s="13">
        <v>33</v>
      </c>
      <c r="N24" s="6"/>
    </row>
    <row r="25" spans="1:14" x14ac:dyDescent="0.3">
      <c r="A25" s="5">
        <v>16</v>
      </c>
      <c r="B25" s="4" t="s">
        <v>70</v>
      </c>
      <c r="C25" s="7">
        <v>88</v>
      </c>
      <c r="D25" s="7">
        <v>90</v>
      </c>
      <c r="E25" s="7">
        <v>85</v>
      </c>
      <c r="F25" s="7">
        <v>90</v>
      </c>
      <c r="G25" s="14">
        <f t="shared" si="2"/>
        <v>60</v>
      </c>
      <c r="H25" s="9">
        <f t="shared" si="0"/>
        <v>89</v>
      </c>
      <c r="I25" s="9">
        <f t="shared" si="1"/>
        <v>87.5</v>
      </c>
      <c r="J25" s="7">
        <f t="shared" si="3"/>
        <v>79.775000000000006</v>
      </c>
      <c r="L25" s="13">
        <v>32</v>
      </c>
      <c r="M25" s="13">
        <v>28</v>
      </c>
      <c r="N25" s="6"/>
    </row>
    <row r="26" spans="1:14" x14ac:dyDescent="0.3">
      <c r="A26" s="5">
        <v>17</v>
      </c>
      <c r="B26" s="4" t="s">
        <v>71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61</v>
      </c>
      <c r="H26" s="9">
        <f t="shared" si="0"/>
        <v>89</v>
      </c>
      <c r="I26" s="9">
        <f t="shared" si="1"/>
        <v>87.5</v>
      </c>
      <c r="J26" s="7">
        <f t="shared" si="3"/>
        <v>80.075000000000003</v>
      </c>
      <c r="L26" s="13">
        <v>30</v>
      </c>
      <c r="M26" s="13">
        <v>31</v>
      </c>
      <c r="N26" s="6"/>
    </row>
    <row r="27" spans="1:14" x14ac:dyDescent="0.3">
      <c r="A27" s="5">
        <v>18</v>
      </c>
      <c r="B27" s="4" t="s">
        <v>72</v>
      </c>
      <c r="C27" s="7">
        <v>88</v>
      </c>
      <c r="D27" s="7">
        <v>90</v>
      </c>
      <c r="E27" s="7">
        <v>85</v>
      </c>
      <c r="F27" s="7">
        <v>90</v>
      </c>
      <c r="G27" s="14">
        <f t="shared" si="2"/>
        <v>61</v>
      </c>
      <c r="H27" s="9">
        <f t="shared" si="0"/>
        <v>89</v>
      </c>
      <c r="I27" s="9">
        <f t="shared" si="1"/>
        <v>87.5</v>
      </c>
      <c r="J27" s="7">
        <f t="shared" si="3"/>
        <v>80.075000000000003</v>
      </c>
      <c r="L27" s="13">
        <v>33</v>
      </c>
      <c r="M27" s="13">
        <v>28</v>
      </c>
      <c r="N27" s="6"/>
    </row>
    <row r="28" spans="1:14" x14ac:dyDescent="0.3">
      <c r="A28" s="5">
        <v>19</v>
      </c>
      <c r="B28" s="4" t="s">
        <v>73</v>
      </c>
      <c r="C28" s="7">
        <v>88</v>
      </c>
      <c r="D28" s="7">
        <v>95</v>
      </c>
      <c r="E28" s="7">
        <v>88</v>
      </c>
      <c r="F28" s="7">
        <v>95</v>
      </c>
      <c r="G28" s="14">
        <f t="shared" si="2"/>
        <v>93</v>
      </c>
      <c r="H28" s="9">
        <f t="shared" si="0"/>
        <v>91.5</v>
      </c>
      <c r="I28" s="9">
        <f t="shared" si="1"/>
        <v>91.5</v>
      </c>
      <c r="J28" s="7">
        <f t="shared" si="3"/>
        <v>91.949999999999989</v>
      </c>
      <c r="L28" s="13">
        <v>54</v>
      </c>
      <c r="M28" s="13">
        <v>39</v>
      </c>
      <c r="N28" s="6"/>
    </row>
    <row r="29" spans="1:14" x14ac:dyDescent="0.3">
      <c r="A29" s="5">
        <v>20</v>
      </c>
      <c r="B29" s="4" t="s">
        <v>74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61</v>
      </c>
      <c r="H29" s="9">
        <f t="shared" si="0"/>
        <v>89</v>
      </c>
      <c r="I29" s="9">
        <f t="shared" si="1"/>
        <v>87.5</v>
      </c>
      <c r="J29" s="7">
        <f t="shared" si="3"/>
        <v>80.075000000000003</v>
      </c>
      <c r="L29" s="13">
        <v>30</v>
      </c>
      <c r="M29" s="13">
        <v>31</v>
      </c>
      <c r="N29" s="6"/>
    </row>
    <row r="30" spans="1:14" x14ac:dyDescent="0.3">
      <c r="A30" s="5">
        <v>21</v>
      </c>
      <c r="B30" s="4" t="s">
        <v>75</v>
      </c>
      <c r="C30" s="7">
        <v>88</v>
      </c>
      <c r="D30" s="7">
        <v>95</v>
      </c>
      <c r="E30" s="7">
        <v>88</v>
      </c>
      <c r="F30" s="7">
        <v>95</v>
      </c>
      <c r="G30" s="14">
        <f t="shared" si="2"/>
        <v>82</v>
      </c>
      <c r="H30" s="9">
        <f t="shared" si="0"/>
        <v>91.5</v>
      </c>
      <c r="I30" s="9">
        <f t="shared" si="1"/>
        <v>91.5</v>
      </c>
      <c r="J30" s="7">
        <f t="shared" si="3"/>
        <v>88.65</v>
      </c>
      <c r="L30" s="13">
        <v>42</v>
      </c>
      <c r="M30" s="13">
        <v>40</v>
      </c>
      <c r="N30" s="6"/>
    </row>
    <row r="31" spans="1:14" x14ac:dyDescent="0.3">
      <c r="A31" s="5">
        <v>22</v>
      </c>
      <c r="B31" s="4" t="s">
        <v>76</v>
      </c>
      <c r="C31" s="7">
        <v>88</v>
      </c>
      <c r="D31" s="7">
        <v>92</v>
      </c>
      <c r="E31" s="7">
        <v>85</v>
      </c>
      <c r="F31" s="7">
        <v>92</v>
      </c>
      <c r="G31" s="14">
        <f t="shared" si="2"/>
        <v>71</v>
      </c>
      <c r="H31" s="9">
        <f t="shared" si="0"/>
        <v>90</v>
      </c>
      <c r="I31" s="9">
        <f t="shared" si="1"/>
        <v>88.5</v>
      </c>
      <c r="J31" s="7">
        <f t="shared" si="3"/>
        <v>83.775000000000006</v>
      </c>
      <c r="L31" s="13">
        <v>36</v>
      </c>
      <c r="M31" s="13">
        <v>35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54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BFFD-1265-497E-8CF7-46CEE35BBEE9}">
  <sheetPr>
    <tabColor rgb="FF00B050"/>
  </sheetPr>
  <dimension ref="A1:N38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5" sqref="F5"/>
    </sheetView>
  </sheetViews>
  <sheetFormatPr defaultRowHeight="14.4" x14ac:dyDescent="0.3"/>
  <cols>
    <col min="2" max="2" width="49.77734375" customWidth="1"/>
    <col min="4" max="4" width="8.88671875" customWidth="1"/>
    <col min="7" max="7" width="11.6640625" customWidth="1"/>
    <col min="8" max="8" width="10.77734375" customWidth="1"/>
    <col min="9" max="9" width="12.88671875" customWidth="1"/>
    <col min="10" max="10" width="38.33203125" customWidth="1"/>
    <col min="12" max="13" width="8.88671875" style="13"/>
    <col min="19" max="19" width="11.5546875" customWidth="1"/>
    <col min="21" max="21" width="28.33203125" customWidth="1"/>
  </cols>
  <sheetData>
    <row r="1" spans="1:14" ht="17.399999999999999" x14ac:dyDescent="0.3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3"/>
      <c r="N1" s="3"/>
    </row>
    <row r="2" spans="1:14" ht="17.399999999999999" x14ac:dyDescent="0.3">
      <c r="A2" s="17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3"/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N3" s="3"/>
    </row>
    <row r="4" spans="1:14" x14ac:dyDescent="0.3">
      <c r="A4" s="2" t="s">
        <v>0</v>
      </c>
      <c r="B4" s="3"/>
      <c r="C4" s="2" t="s">
        <v>100</v>
      </c>
      <c r="D4" s="3"/>
      <c r="E4" s="3"/>
      <c r="F4" s="3"/>
      <c r="G4" s="3"/>
      <c r="H4" s="3"/>
      <c r="I4" s="3"/>
      <c r="J4" s="3"/>
      <c r="K4" s="3"/>
      <c r="N4" s="3"/>
    </row>
    <row r="5" spans="1:14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N5" s="3"/>
    </row>
    <row r="6" spans="1:14" x14ac:dyDescent="0.3">
      <c r="A6" s="2" t="s">
        <v>13</v>
      </c>
      <c r="B6" s="3"/>
      <c r="C6" s="2" t="s">
        <v>53</v>
      </c>
      <c r="D6" s="3"/>
      <c r="E6" s="3"/>
      <c r="F6" s="3"/>
      <c r="G6" s="3"/>
      <c r="H6" s="3"/>
      <c r="I6" s="3"/>
      <c r="J6" s="3"/>
      <c r="K6" s="3"/>
      <c r="N6" s="3"/>
    </row>
    <row r="7" spans="1:14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N7" s="3"/>
    </row>
    <row r="8" spans="1:14" ht="15.45" customHeight="1" x14ac:dyDescent="0.3">
      <c r="A8" s="18" t="s">
        <v>2</v>
      </c>
      <c r="B8" s="19" t="s">
        <v>3</v>
      </c>
      <c r="C8" s="20" t="s">
        <v>22</v>
      </c>
      <c r="D8" s="21"/>
      <c r="E8" s="22" t="s">
        <v>23</v>
      </c>
      <c r="F8" s="23"/>
      <c r="G8" s="15" t="s">
        <v>7</v>
      </c>
      <c r="H8" s="24" t="s">
        <v>21</v>
      </c>
      <c r="I8" s="25"/>
      <c r="J8" s="26" t="s">
        <v>8</v>
      </c>
      <c r="L8" s="16" t="s">
        <v>28</v>
      </c>
      <c r="M8" s="16" t="s">
        <v>29</v>
      </c>
      <c r="N8" s="1" t="s">
        <v>14</v>
      </c>
    </row>
    <row r="9" spans="1:14" ht="14.55" customHeight="1" x14ac:dyDescent="0.3">
      <c r="A9" s="18"/>
      <c r="B9" s="19"/>
      <c r="C9" s="11" t="s">
        <v>4</v>
      </c>
      <c r="D9" s="11" t="s">
        <v>5</v>
      </c>
      <c r="E9" s="12" t="s">
        <v>4</v>
      </c>
      <c r="F9" s="12" t="s">
        <v>6</v>
      </c>
      <c r="G9" s="10" t="s">
        <v>20</v>
      </c>
      <c r="H9" s="8" t="s">
        <v>24</v>
      </c>
      <c r="I9" s="8" t="s">
        <v>25</v>
      </c>
      <c r="J9" s="27"/>
      <c r="L9" s="16"/>
      <c r="M9" s="16"/>
      <c r="N9" s="2" t="s">
        <v>9</v>
      </c>
    </row>
    <row r="10" spans="1:14" x14ac:dyDescent="0.3">
      <c r="A10" s="5">
        <v>1</v>
      </c>
      <c r="B10" s="4" t="s">
        <v>78</v>
      </c>
      <c r="C10" s="7">
        <v>88</v>
      </c>
      <c r="D10" s="7">
        <v>92</v>
      </c>
      <c r="E10" s="7">
        <v>85</v>
      </c>
      <c r="F10" s="7">
        <v>92</v>
      </c>
      <c r="G10" s="14">
        <f>L10+M10</f>
        <v>61</v>
      </c>
      <c r="H10" s="9">
        <f t="shared" ref="H10:H31" si="0">AVERAGE(C10:D10)</f>
        <v>90</v>
      </c>
      <c r="I10" s="9">
        <f t="shared" ref="I10:I31" si="1">AVERAGE(E10:F10)</f>
        <v>88.5</v>
      </c>
      <c r="J10" s="7">
        <f>(G10*30/100)+(H10*35/100)+(I10*35/100)</f>
        <v>80.775000000000006</v>
      </c>
      <c r="L10" s="13">
        <v>30</v>
      </c>
      <c r="M10" s="13">
        <v>31</v>
      </c>
      <c r="N10" s="2" t="s">
        <v>15</v>
      </c>
    </row>
    <row r="11" spans="1:14" x14ac:dyDescent="0.3">
      <c r="A11" s="5">
        <v>2</v>
      </c>
      <c r="B11" s="4" t="s">
        <v>79</v>
      </c>
      <c r="C11" s="7">
        <v>88</v>
      </c>
      <c r="D11" s="7">
        <v>90</v>
      </c>
      <c r="E11" s="7">
        <v>85</v>
      </c>
      <c r="F11" s="7">
        <v>90</v>
      </c>
      <c r="G11" s="14">
        <f t="shared" ref="G11:G31" si="2">L11+M11</f>
        <v>60</v>
      </c>
      <c r="H11" s="9">
        <f t="shared" si="0"/>
        <v>89</v>
      </c>
      <c r="I11" s="9">
        <f t="shared" si="1"/>
        <v>87.5</v>
      </c>
      <c r="J11" s="7">
        <f t="shared" ref="J11:J31" si="3">(G11*30/100)+(H11*35/100)+(I11*35/100)</f>
        <v>79.775000000000006</v>
      </c>
      <c r="L11" s="13">
        <v>33</v>
      </c>
      <c r="M11" s="13">
        <v>27</v>
      </c>
      <c r="N11" s="2" t="s">
        <v>17</v>
      </c>
    </row>
    <row r="12" spans="1:14" x14ac:dyDescent="0.3">
      <c r="A12" s="5">
        <v>3</v>
      </c>
      <c r="B12" s="4" t="s">
        <v>80</v>
      </c>
      <c r="C12" s="7">
        <v>88</v>
      </c>
      <c r="D12" s="7">
        <v>90</v>
      </c>
      <c r="E12" s="7">
        <v>85</v>
      </c>
      <c r="F12" s="7">
        <v>90</v>
      </c>
      <c r="G12" s="14">
        <f t="shared" si="2"/>
        <v>63</v>
      </c>
      <c r="H12" s="9">
        <f t="shared" si="0"/>
        <v>89</v>
      </c>
      <c r="I12" s="9">
        <f t="shared" si="1"/>
        <v>87.5</v>
      </c>
      <c r="J12" s="7">
        <f t="shared" si="3"/>
        <v>80.674999999999997</v>
      </c>
      <c r="L12" s="13">
        <v>36</v>
      </c>
      <c r="M12" s="13">
        <v>27</v>
      </c>
      <c r="N12" s="2" t="s">
        <v>18</v>
      </c>
    </row>
    <row r="13" spans="1:14" x14ac:dyDescent="0.3">
      <c r="A13" s="5">
        <v>4</v>
      </c>
      <c r="B13" s="4" t="s">
        <v>81</v>
      </c>
      <c r="C13" s="7">
        <v>88</v>
      </c>
      <c r="D13" s="7">
        <v>90</v>
      </c>
      <c r="E13" s="7">
        <v>85</v>
      </c>
      <c r="F13" s="7">
        <v>90</v>
      </c>
      <c r="G13" s="14">
        <f t="shared" si="2"/>
        <v>65</v>
      </c>
      <c r="H13" s="9">
        <f t="shared" si="0"/>
        <v>89</v>
      </c>
      <c r="I13" s="9">
        <f t="shared" si="1"/>
        <v>87.5</v>
      </c>
      <c r="J13" s="7">
        <f t="shared" si="3"/>
        <v>81.275000000000006</v>
      </c>
      <c r="L13" s="13">
        <v>33</v>
      </c>
      <c r="M13" s="13">
        <v>32</v>
      </c>
      <c r="N13" s="2" t="s">
        <v>19</v>
      </c>
    </row>
    <row r="14" spans="1:14" x14ac:dyDescent="0.3">
      <c r="A14" s="5">
        <v>5</v>
      </c>
      <c r="B14" s="4" t="s">
        <v>82</v>
      </c>
      <c r="C14" s="7">
        <v>88</v>
      </c>
      <c r="D14" s="7">
        <v>90</v>
      </c>
      <c r="E14" s="7">
        <v>85</v>
      </c>
      <c r="F14" s="7">
        <v>90</v>
      </c>
      <c r="G14" s="14">
        <f t="shared" si="2"/>
        <v>63</v>
      </c>
      <c r="H14" s="9">
        <f t="shared" si="0"/>
        <v>89</v>
      </c>
      <c r="I14" s="9">
        <f t="shared" si="1"/>
        <v>87.5</v>
      </c>
      <c r="J14" s="7">
        <f t="shared" si="3"/>
        <v>80.674999999999997</v>
      </c>
      <c r="L14" s="13">
        <v>33</v>
      </c>
      <c r="M14" s="13">
        <v>30</v>
      </c>
      <c r="N14" s="2" t="s">
        <v>10</v>
      </c>
    </row>
    <row r="15" spans="1:14" x14ac:dyDescent="0.3">
      <c r="A15" s="5">
        <v>6</v>
      </c>
      <c r="B15" s="4" t="s">
        <v>83</v>
      </c>
      <c r="C15" s="7">
        <v>88</v>
      </c>
      <c r="D15" s="7">
        <v>90</v>
      </c>
      <c r="E15" s="7">
        <v>85</v>
      </c>
      <c r="F15" s="7">
        <v>90</v>
      </c>
      <c r="G15" s="14">
        <f t="shared" si="2"/>
        <v>60</v>
      </c>
      <c r="H15" s="9">
        <f t="shared" si="0"/>
        <v>89</v>
      </c>
      <c r="I15" s="9">
        <f t="shared" si="1"/>
        <v>87.5</v>
      </c>
      <c r="J15" s="7">
        <f t="shared" si="3"/>
        <v>79.775000000000006</v>
      </c>
      <c r="L15" s="13">
        <v>37</v>
      </c>
      <c r="M15" s="13">
        <v>23</v>
      </c>
      <c r="N15" s="6"/>
    </row>
    <row r="16" spans="1:14" x14ac:dyDescent="0.3">
      <c r="A16" s="5">
        <v>7</v>
      </c>
      <c r="B16" s="4" t="s">
        <v>84</v>
      </c>
      <c r="C16" s="7">
        <v>88</v>
      </c>
      <c r="D16" s="7">
        <v>94</v>
      </c>
      <c r="E16" s="7">
        <v>87</v>
      </c>
      <c r="F16" s="7">
        <v>94</v>
      </c>
      <c r="G16" s="14">
        <f t="shared" si="2"/>
        <v>61</v>
      </c>
      <c r="H16" s="9">
        <f t="shared" si="0"/>
        <v>91</v>
      </c>
      <c r="I16" s="9">
        <f t="shared" si="1"/>
        <v>90.5</v>
      </c>
      <c r="J16" s="7">
        <f t="shared" si="3"/>
        <v>81.825000000000003</v>
      </c>
      <c r="L16" s="13">
        <v>30</v>
      </c>
      <c r="M16" s="13">
        <v>31</v>
      </c>
      <c r="N16" s="6"/>
    </row>
    <row r="17" spans="1:14" x14ac:dyDescent="0.3">
      <c r="A17" s="5">
        <v>8</v>
      </c>
      <c r="B17" s="4" t="s">
        <v>85</v>
      </c>
      <c r="C17" s="7">
        <v>88</v>
      </c>
      <c r="D17" s="7">
        <v>93</v>
      </c>
      <c r="E17" s="7">
        <v>86</v>
      </c>
      <c r="F17" s="7">
        <v>93</v>
      </c>
      <c r="G17" s="14">
        <f t="shared" si="2"/>
        <v>73</v>
      </c>
      <c r="H17" s="9">
        <f t="shared" si="0"/>
        <v>90.5</v>
      </c>
      <c r="I17" s="9">
        <f t="shared" si="1"/>
        <v>89.5</v>
      </c>
      <c r="J17" s="7">
        <f t="shared" si="3"/>
        <v>84.9</v>
      </c>
      <c r="L17" s="13">
        <v>45</v>
      </c>
      <c r="M17" s="13">
        <v>28</v>
      </c>
      <c r="N17" s="6"/>
    </row>
    <row r="18" spans="1:14" x14ac:dyDescent="0.3">
      <c r="A18" s="5">
        <v>9</v>
      </c>
      <c r="B18" s="4" t="s">
        <v>86</v>
      </c>
      <c r="C18" s="7">
        <v>88</v>
      </c>
      <c r="D18" s="7">
        <v>90</v>
      </c>
      <c r="E18" s="7">
        <v>85</v>
      </c>
      <c r="F18" s="7">
        <v>90</v>
      </c>
      <c r="G18" s="14">
        <f t="shared" si="2"/>
        <v>63</v>
      </c>
      <c r="H18" s="9">
        <f t="shared" si="0"/>
        <v>89</v>
      </c>
      <c r="I18" s="9">
        <f t="shared" si="1"/>
        <v>87.5</v>
      </c>
      <c r="J18" s="7">
        <f t="shared" si="3"/>
        <v>80.674999999999997</v>
      </c>
      <c r="L18" s="13">
        <v>36</v>
      </c>
      <c r="M18" s="13">
        <v>27</v>
      </c>
      <c r="N18" s="6"/>
    </row>
    <row r="19" spans="1:14" x14ac:dyDescent="0.3">
      <c r="A19" s="5">
        <v>10</v>
      </c>
      <c r="B19" s="4" t="s">
        <v>87</v>
      </c>
      <c r="C19" s="7">
        <v>88</v>
      </c>
      <c r="D19" s="7">
        <v>95</v>
      </c>
      <c r="E19" s="7">
        <v>88</v>
      </c>
      <c r="F19" s="7">
        <v>95</v>
      </c>
      <c r="G19" s="14">
        <f t="shared" si="2"/>
        <v>89</v>
      </c>
      <c r="H19" s="9">
        <f t="shared" si="0"/>
        <v>91.5</v>
      </c>
      <c r="I19" s="9">
        <f t="shared" si="1"/>
        <v>91.5</v>
      </c>
      <c r="J19" s="7">
        <f t="shared" si="3"/>
        <v>90.75</v>
      </c>
      <c r="L19" s="13">
        <v>55</v>
      </c>
      <c r="M19" s="13">
        <v>34</v>
      </c>
      <c r="N19" s="6"/>
    </row>
    <row r="20" spans="1:14" x14ac:dyDescent="0.3">
      <c r="A20" s="5">
        <v>11</v>
      </c>
      <c r="B20" s="4" t="s">
        <v>88</v>
      </c>
      <c r="C20" s="7">
        <v>88</v>
      </c>
      <c r="D20" s="7">
        <v>90</v>
      </c>
      <c r="E20" s="7">
        <v>85</v>
      </c>
      <c r="F20" s="7">
        <v>90</v>
      </c>
      <c r="G20" s="14">
        <f t="shared" si="2"/>
        <v>84</v>
      </c>
      <c r="H20" s="9">
        <f t="shared" si="0"/>
        <v>89</v>
      </c>
      <c r="I20" s="9">
        <f t="shared" si="1"/>
        <v>87.5</v>
      </c>
      <c r="J20" s="7">
        <f t="shared" si="3"/>
        <v>86.974999999999994</v>
      </c>
      <c r="L20" s="13">
        <v>51</v>
      </c>
      <c r="M20" s="13">
        <v>33</v>
      </c>
      <c r="N20" s="6"/>
    </row>
    <row r="21" spans="1:14" x14ac:dyDescent="0.3">
      <c r="A21" s="5">
        <v>12</v>
      </c>
      <c r="B21" s="4" t="s">
        <v>89</v>
      </c>
      <c r="C21" s="7">
        <v>88</v>
      </c>
      <c r="D21" s="7">
        <v>90</v>
      </c>
      <c r="E21" s="7">
        <v>85</v>
      </c>
      <c r="F21" s="7">
        <v>90</v>
      </c>
      <c r="G21" s="14">
        <f t="shared" si="2"/>
        <v>71</v>
      </c>
      <c r="H21" s="9">
        <f t="shared" si="0"/>
        <v>89</v>
      </c>
      <c r="I21" s="9">
        <f t="shared" si="1"/>
        <v>87.5</v>
      </c>
      <c r="J21" s="7">
        <f t="shared" si="3"/>
        <v>83.075000000000003</v>
      </c>
      <c r="L21" s="13">
        <v>39</v>
      </c>
      <c r="M21" s="13">
        <v>32</v>
      </c>
      <c r="N21" s="6"/>
    </row>
    <row r="22" spans="1:14" x14ac:dyDescent="0.3">
      <c r="A22" s="5">
        <v>13</v>
      </c>
      <c r="B22" s="4" t="s">
        <v>90</v>
      </c>
      <c r="C22" s="7">
        <v>88</v>
      </c>
      <c r="D22" s="7">
        <v>90</v>
      </c>
      <c r="E22" s="7">
        <v>85</v>
      </c>
      <c r="F22" s="7">
        <v>90</v>
      </c>
      <c r="G22" s="14">
        <f t="shared" si="2"/>
        <v>60</v>
      </c>
      <c r="H22" s="9">
        <f t="shared" si="0"/>
        <v>89</v>
      </c>
      <c r="I22" s="9">
        <f t="shared" si="1"/>
        <v>87.5</v>
      </c>
      <c r="J22" s="7">
        <f t="shared" si="3"/>
        <v>79.775000000000006</v>
      </c>
      <c r="L22" s="13">
        <v>35</v>
      </c>
      <c r="M22" s="13">
        <v>25</v>
      </c>
      <c r="N22" s="6"/>
    </row>
    <row r="23" spans="1:14" x14ac:dyDescent="0.3">
      <c r="A23" s="5">
        <v>14</v>
      </c>
      <c r="B23" s="4" t="s">
        <v>91</v>
      </c>
      <c r="C23" s="7">
        <v>88</v>
      </c>
      <c r="D23" s="7">
        <v>90</v>
      </c>
      <c r="E23" s="7">
        <v>85</v>
      </c>
      <c r="F23" s="7">
        <v>90</v>
      </c>
      <c r="G23" s="14">
        <f t="shared" si="2"/>
        <v>60</v>
      </c>
      <c r="H23" s="9">
        <f t="shared" si="0"/>
        <v>89</v>
      </c>
      <c r="I23" s="9">
        <f t="shared" si="1"/>
        <v>87.5</v>
      </c>
      <c r="J23" s="7">
        <f t="shared" si="3"/>
        <v>79.775000000000006</v>
      </c>
      <c r="L23" s="13">
        <v>32</v>
      </c>
      <c r="M23" s="13">
        <v>28</v>
      </c>
      <c r="N23" s="6"/>
    </row>
    <row r="24" spans="1:14" x14ac:dyDescent="0.3">
      <c r="A24" s="5">
        <v>15</v>
      </c>
      <c r="B24" s="4" t="s">
        <v>92</v>
      </c>
      <c r="C24" s="7">
        <v>88</v>
      </c>
      <c r="D24" s="7">
        <v>95</v>
      </c>
      <c r="E24" s="7">
        <v>88</v>
      </c>
      <c r="F24" s="7">
        <v>95</v>
      </c>
      <c r="G24" s="14">
        <f t="shared" si="2"/>
        <v>63</v>
      </c>
      <c r="H24" s="9">
        <f t="shared" si="0"/>
        <v>91.5</v>
      </c>
      <c r="I24" s="9">
        <f t="shared" si="1"/>
        <v>91.5</v>
      </c>
      <c r="J24" s="7">
        <f t="shared" si="3"/>
        <v>82.949999999999989</v>
      </c>
      <c r="L24" s="13">
        <v>33</v>
      </c>
      <c r="M24" s="13">
        <v>30</v>
      </c>
      <c r="N24" s="6"/>
    </row>
    <row r="25" spans="1:14" x14ac:dyDescent="0.3">
      <c r="A25" s="5">
        <v>16</v>
      </c>
      <c r="B25" s="4" t="s">
        <v>93</v>
      </c>
      <c r="C25" s="7">
        <v>88</v>
      </c>
      <c r="D25" s="7">
        <v>96</v>
      </c>
      <c r="E25" s="7">
        <v>88</v>
      </c>
      <c r="F25" s="7">
        <v>96</v>
      </c>
      <c r="G25" s="14">
        <f t="shared" si="2"/>
        <v>69</v>
      </c>
      <c r="H25" s="9">
        <f t="shared" si="0"/>
        <v>92</v>
      </c>
      <c r="I25" s="9">
        <f t="shared" si="1"/>
        <v>92</v>
      </c>
      <c r="J25" s="7">
        <f t="shared" si="3"/>
        <v>85.100000000000009</v>
      </c>
      <c r="L25" s="13">
        <v>39</v>
      </c>
      <c r="M25" s="13">
        <v>30</v>
      </c>
      <c r="N25" s="6"/>
    </row>
    <row r="26" spans="1:14" x14ac:dyDescent="0.3">
      <c r="A26" s="5">
        <v>17</v>
      </c>
      <c r="B26" s="4" t="s">
        <v>94</v>
      </c>
      <c r="C26" s="7">
        <v>88</v>
      </c>
      <c r="D26" s="7">
        <v>90</v>
      </c>
      <c r="E26" s="7">
        <v>85</v>
      </c>
      <c r="F26" s="7">
        <v>90</v>
      </c>
      <c r="G26" s="14">
        <f t="shared" si="2"/>
        <v>60</v>
      </c>
      <c r="H26" s="9">
        <f t="shared" si="0"/>
        <v>89</v>
      </c>
      <c r="I26" s="9">
        <f t="shared" si="1"/>
        <v>87.5</v>
      </c>
      <c r="J26" s="7">
        <f t="shared" si="3"/>
        <v>79.775000000000006</v>
      </c>
      <c r="L26" s="13">
        <v>37</v>
      </c>
      <c r="M26" s="13">
        <v>23</v>
      </c>
      <c r="N26" s="6"/>
    </row>
    <row r="27" spans="1:14" x14ac:dyDescent="0.3">
      <c r="A27" s="5">
        <v>18</v>
      </c>
      <c r="B27" s="4" t="s">
        <v>95</v>
      </c>
      <c r="C27" s="7">
        <v>88</v>
      </c>
      <c r="D27" s="7">
        <v>94</v>
      </c>
      <c r="E27" s="7">
        <v>87</v>
      </c>
      <c r="F27" s="7">
        <v>94</v>
      </c>
      <c r="G27" s="14">
        <f t="shared" si="2"/>
        <v>58</v>
      </c>
      <c r="H27" s="9">
        <f t="shared" si="0"/>
        <v>91</v>
      </c>
      <c r="I27" s="9">
        <f t="shared" si="1"/>
        <v>90.5</v>
      </c>
      <c r="J27" s="7">
        <f t="shared" si="3"/>
        <v>80.924999999999997</v>
      </c>
      <c r="L27" s="13">
        <v>27</v>
      </c>
      <c r="M27" s="13">
        <v>31</v>
      </c>
      <c r="N27" s="6"/>
    </row>
    <row r="28" spans="1:14" x14ac:dyDescent="0.3">
      <c r="A28" s="5">
        <v>19</v>
      </c>
      <c r="B28" s="4" t="s">
        <v>96</v>
      </c>
      <c r="C28" s="7">
        <v>88</v>
      </c>
      <c r="D28" s="7">
        <v>90</v>
      </c>
      <c r="E28" s="7">
        <v>85</v>
      </c>
      <c r="F28" s="7">
        <v>90</v>
      </c>
      <c r="G28" s="14">
        <f t="shared" si="2"/>
        <v>61</v>
      </c>
      <c r="H28" s="9">
        <f t="shared" si="0"/>
        <v>89</v>
      </c>
      <c r="I28" s="9">
        <f t="shared" si="1"/>
        <v>87.5</v>
      </c>
      <c r="J28" s="7">
        <f t="shared" si="3"/>
        <v>80.075000000000003</v>
      </c>
      <c r="L28" s="13">
        <v>35</v>
      </c>
      <c r="M28" s="13">
        <v>26</v>
      </c>
      <c r="N28" s="6"/>
    </row>
    <row r="29" spans="1:14" x14ac:dyDescent="0.3">
      <c r="A29" s="5">
        <v>20</v>
      </c>
      <c r="B29" s="4" t="s">
        <v>97</v>
      </c>
      <c r="C29" s="7">
        <v>88</v>
      </c>
      <c r="D29" s="7">
        <v>90</v>
      </c>
      <c r="E29" s="7">
        <v>85</v>
      </c>
      <c r="F29" s="7">
        <v>90</v>
      </c>
      <c r="G29" s="14">
        <f t="shared" si="2"/>
        <v>60</v>
      </c>
      <c r="H29" s="9">
        <f t="shared" si="0"/>
        <v>89</v>
      </c>
      <c r="I29" s="9">
        <f t="shared" si="1"/>
        <v>87.5</v>
      </c>
      <c r="J29" s="7">
        <f t="shared" si="3"/>
        <v>79.775000000000006</v>
      </c>
      <c r="L29" s="13">
        <v>35</v>
      </c>
      <c r="M29" s="13">
        <v>25</v>
      </c>
      <c r="N29" s="6"/>
    </row>
    <row r="30" spans="1:14" x14ac:dyDescent="0.3">
      <c r="A30" s="5">
        <v>21</v>
      </c>
      <c r="B30" s="4" t="s">
        <v>98</v>
      </c>
      <c r="C30" s="7">
        <v>88</v>
      </c>
      <c r="D30" s="7">
        <v>90</v>
      </c>
      <c r="E30" s="7">
        <v>85</v>
      </c>
      <c r="F30" s="7">
        <v>90</v>
      </c>
      <c r="G30" s="14">
        <f t="shared" si="2"/>
        <v>60</v>
      </c>
      <c r="H30" s="9">
        <f t="shared" si="0"/>
        <v>89</v>
      </c>
      <c r="I30" s="9">
        <f t="shared" si="1"/>
        <v>87.5</v>
      </c>
      <c r="J30" s="7">
        <f t="shared" si="3"/>
        <v>79.775000000000006</v>
      </c>
      <c r="L30" s="13">
        <v>36</v>
      </c>
      <c r="M30" s="13">
        <v>24</v>
      </c>
      <c r="N30" s="6"/>
    </row>
    <row r="31" spans="1:14" x14ac:dyDescent="0.3">
      <c r="A31" s="5">
        <v>22</v>
      </c>
      <c r="B31" s="4" t="s">
        <v>99</v>
      </c>
      <c r="C31" s="7">
        <v>88</v>
      </c>
      <c r="D31" s="7">
        <v>90</v>
      </c>
      <c r="E31" s="7">
        <v>85</v>
      </c>
      <c r="F31" s="7">
        <v>90</v>
      </c>
      <c r="G31" s="14">
        <f t="shared" si="2"/>
        <v>62</v>
      </c>
      <c r="H31" s="9">
        <f t="shared" si="0"/>
        <v>89</v>
      </c>
      <c r="I31" s="9">
        <f t="shared" si="1"/>
        <v>87.5</v>
      </c>
      <c r="J31" s="7">
        <f t="shared" si="3"/>
        <v>80.375</v>
      </c>
      <c r="L31" s="13">
        <v>36</v>
      </c>
      <c r="M31" s="13">
        <v>26</v>
      </c>
      <c r="N31" s="6"/>
    </row>
    <row r="32" spans="1:14" x14ac:dyDescent="0.3">
      <c r="A32" s="3"/>
      <c r="B32" s="3"/>
      <c r="C32" s="3"/>
      <c r="D32" s="3"/>
      <c r="E32" s="3"/>
      <c r="F32" s="3"/>
      <c r="G32" s="3"/>
      <c r="I32" s="3"/>
      <c r="J32" s="3"/>
      <c r="K32" s="3"/>
      <c r="N32" s="3"/>
    </row>
    <row r="34" spans="8:8" x14ac:dyDescent="0.3">
      <c r="H34" s="2" t="s">
        <v>54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26</v>
      </c>
    </row>
  </sheetData>
  <mergeCells count="10">
    <mergeCell ref="L8:L9"/>
    <mergeCell ref="M8:M9"/>
    <mergeCell ref="A1:J1"/>
    <mergeCell ref="A2:J2"/>
    <mergeCell ref="A8:A9"/>
    <mergeCell ref="B8:B9"/>
    <mergeCell ref="C8:D8"/>
    <mergeCell ref="E8:F8"/>
    <mergeCell ref="H8:I8"/>
    <mergeCell ref="J8:J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INTAN</vt:lpstr>
      <vt:lpstr>SAFIR</vt:lpstr>
      <vt:lpstr>KYANITE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Septian Syahputra</cp:lastModifiedBy>
  <dcterms:created xsi:type="dcterms:W3CDTF">2022-12-13T01:59:23Z</dcterms:created>
  <dcterms:modified xsi:type="dcterms:W3CDTF">2026-10-21T06:54:49Z</dcterms:modified>
</cp:coreProperties>
</file>