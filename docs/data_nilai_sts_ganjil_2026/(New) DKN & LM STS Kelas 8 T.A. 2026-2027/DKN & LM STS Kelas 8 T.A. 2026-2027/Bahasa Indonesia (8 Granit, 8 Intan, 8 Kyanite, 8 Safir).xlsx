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D06DA5-2D82-40E7-A236-47C6B4D3756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Granit" sheetId="9" r:id="rId1"/>
    <sheet name="Intan" sheetId="10" r:id="rId2"/>
    <sheet name="Kyanite" sheetId="11" r:id="rId3"/>
    <sheet name="Safir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12" l="1"/>
  <c r="P43" i="12"/>
  <c r="P42" i="12"/>
  <c r="P41" i="12"/>
  <c r="P40" i="12"/>
  <c r="P39" i="12"/>
  <c r="P38" i="12"/>
  <c r="P37" i="12"/>
  <c r="P36" i="12"/>
  <c r="P35" i="12"/>
  <c r="P34" i="12"/>
  <c r="P33" i="12"/>
  <c r="P32" i="12"/>
  <c r="O31" i="12"/>
  <c r="N31" i="12"/>
  <c r="P31" i="12" s="1"/>
  <c r="O30" i="12"/>
  <c r="N30" i="12"/>
  <c r="P30" i="12" s="1"/>
  <c r="P29" i="12"/>
  <c r="O29" i="12"/>
  <c r="N29" i="12"/>
  <c r="O28" i="12"/>
  <c r="P28" i="12" s="1"/>
  <c r="N28" i="12"/>
  <c r="O27" i="12"/>
  <c r="N27" i="12"/>
  <c r="P27" i="12" s="1"/>
  <c r="O26" i="12"/>
  <c r="N26" i="12"/>
  <c r="P26" i="12" s="1"/>
  <c r="P25" i="12"/>
  <c r="O25" i="12"/>
  <c r="N25" i="12"/>
  <c r="O24" i="12"/>
  <c r="P24" i="12" s="1"/>
  <c r="N24" i="12"/>
  <c r="O23" i="12"/>
  <c r="N23" i="12"/>
  <c r="P23" i="12" s="1"/>
  <c r="O22" i="12"/>
  <c r="N22" i="12"/>
  <c r="P22" i="12" s="1"/>
  <c r="P21" i="12"/>
  <c r="O21" i="12"/>
  <c r="N21" i="12"/>
  <c r="O20" i="12"/>
  <c r="P20" i="12" s="1"/>
  <c r="N20" i="12"/>
  <c r="O19" i="12"/>
  <c r="N19" i="12"/>
  <c r="P19" i="12" s="1"/>
  <c r="O18" i="12"/>
  <c r="N18" i="12"/>
  <c r="P18" i="12" s="1"/>
  <c r="P17" i="12"/>
  <c r="O17" i="12"/>
  <c r="N17" i="12"/>
  <c r="O16" i="12"/>
  <c r="P16" i="12" s="1"/>
  <c r="N16" i="12"/>
  <c r="O15" i="12"/>
  <c r="N15" i="12"/>
  <c r="P15" i="12" s="1"/>
  <c r="O14" i="12"/>
  <c r="N14" i="12"/>
  <c r="P14" i="12" s="1"/>
  <c r="P13" i="12"/>
  <c r="O13" i="12"/>
  <c r="N13" i="12"/>
  <c r="O12" i="12"/>
  <c r="P12" i="12" s="1"/>
  <c r="N12" i="12"/>
  <c r="O11" i="12"/>
  <c r="N11" i="12"/>
  <c r="P11" i="12" s="1"/>
  <c r="O10" i="12"/>
  <c r="N10" i="12"/>
  <c r="P10" i="12" s="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O31" i="11"/>
  <c r="N31" i="11"/>
  <c r="P31" i="11" s="1"/>
  <c r="O30" i="11"/>
  <c r="N30" i="11"/>
  <c r="P30" i="11" s="1"/>
  <c r="P29" i="11"/>
  <c r="O29" i="11"/>
  <c r="N29" i="11"/>
  <c r="O28" i="11"/>
  <c r="P28" i="11" s="1"/>
  <c r="N28" i="11"/>
  <c r="O27" i="11"/>
  <c r="N27" i="11"/>
  <c r="P27" i="11" s="1"/>
  <c r="O26" i="11"/>
  <c r="N26" i="11"/>
  <c r="P26" i="11" s="1"/>
  <c r="P25" i="11"/>
  <c r="O25" i="11"/>
  <c r="N25" i="11"/>
  <c r="O24" i="11"/>
  <c r="P24" i="11" s="1"/>
  <c r="N24" i="11"/>
  <c r="O23" i="11"/>
  <c r="N23" i="11"/>
  <c r="P23" i="11" s="1"/>
  <c r="O22" i="11"/>
  <c r="N22" i="11"/>
  <c r="P22" i="11" s="1"/>
  <c r="P21" i="11"/>
  <c r="O21" i="11"/>
  <c r="N21" i="11"/>
  <c r="O20" i="11"/>
  <c r="P20" i="11" s="1"/>
  <c r="N20" i="11"/>
  <c r="O19" i="11"/>
  <c r="N19" i="11"/>
  <c r="P19" i="11" s="1"/>
  <c r="O18" i="11"/>
  <c r="N18" i="11"/>
  <c r="P18" i="11" s="1"/>
  <c r="P17" i="11"/>
  <c r="O17" i="11"/>
  <c r="N17" i="11"/>
  <c r="O16" i="11"/>
  <c r="P16" i="11" s="1"/>
  <c r="N16" i="11"/>
  <c r="O15" i="11"/>
  <c r="N15" i="11"/>
  <c r="P15" i="11" s="1"/>
  <c r="O14" i="11"/>
  <c r="N14" i="11"/>
  <c r="P14" i="11" s="1"/>
  <c r="P13" i="11"/>
  <c r="O13" i="11"/>
  <c r="N13" i="11"/>
  <c r="O12" i="11"/>
  <c r="P12" i="11" s="1"/>
  <c r="N12" i="11"/>
  <c r="O11" i="11"/>
  <c r="N11" i="11"/>
  <c r="P11" i="11" s="1"/>
  <c r="O10" i="11"/>
  <c r="N10" i="11"/>
  <c r="P10" i="11" s="1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O31" i="10"/>
  <c r="N31" i="10"/>
  <c r="P31" i="10" s="1"/>
  <c r="O30" i="10"/>
  <c r="N30" i="10"/>
  <c r="P30" i="10" s="1"/>
  <c r="P29" i="10"/>
  <c r="O29" i="10"/>
  <c r="N29" i="10"/>
  <c r="O28" i="10"/>
  <c r="N28" i="10"/>
  <c r="P28" i="10" s="1"/>
  <c r="O27" i="10"/>
  <c r="N27" i="10"/>
  <c r="P27" i="10" s="1"/>
  <c r="P26" i="10"/>
  <c r="O26" i="10"/>
  <c r="N26" i="10"/>
  <c r="P25" i="10"/>
  <c r="O25" i="10"/>
  <c r="N25" i="10"/>
  <c r="O24" i="10"/>
  <c r="N24" i="10"/>
  <c r="P24" i="10" s="1"/>
  <c r="O23" i="10"/>
  <c r="N23" i="10"/>
  <c r="P23" i="10" s="1"/>
  <c r="P22" i="10"/>
  <c r="O22" i="10"/>
  <c r="N22" i="10"/>
  <c r="P21" i="10"/>
  <c r="O21" i="10"/>
  <c r="N21" i="10"/>
  <c r="O20" i="10"/>
  <c r="N20" i="10"/>
  <c r="P20" i="10" s="1"/>
  <c r="O19" i="10"/>
  <c r="N19" i="10"/>
  <c r="P19" i="10" s="1"/>
  <c r="P18" i="10"/>
  <c r="O18" i="10"/>
  <c r="N18" i="10"/>
  <c r="P17" i="10"/>
  <c r="O17" i="10"/>
  <c r="N17" i="10"/>
  <c r="O16" i="10"/>
  <c r="N16" i="10"/>
  <c r="P16" i="10" s="1"/>
  <c r="O15" i="10"/>
  <c r="N15" i="10"/>
  <c r="P15" i="10" s="1"/>
  <c r="P14" i="10"/>
  <c r="O14" i="10"/>
  <c r="N14" i="10"/>
  <c r="P13" i="10"/>
  <c r="O13" i="10"/>
  <c r="N13" i="10"/>
  <c r="O12" i="10"/>
  <c r="N12" i="10"/>
  <c r="P12" i="10" s="1"/>
  <c r="O11" i="10"/>
  <c r="N11" i="10"/>
  <c r="P11" i="10" s="1"/>
  <c r="P10" i="10"/>
  <c r="O10" i="10"/>
  <c r="N10" i="10"/>
  <c r="P44" i="9"/>
  <c r="P43" i="9"/>
  <c r="P42" i="9"/>
  <c r="P41" i="9"/>
  <c r="O41" i="9"/>
  <c r="N41" i="9"/>
  <c r="P40" i="9"/>
  <c r="O40" i="9"/>
  <c r="N40" i="9"/>
  <c r="P39" i="9"/>
  <c r="O39" i="9"/>
  <c r="N39" i="9"/>
  <c r="P38" i="9"/>
  <c r="O38" i="9"/>
  <c r="N38" i="9"/>
  <c r="P37" i="9"/>
  <c r="O37" i="9"/>
  <c r="N37" i="9"/>
  <c r="P36" i="9"/>
  <c r="O36" i="9"/>
  <c r="N36" i="9"/>
  <c r="P35" i="9"/>
  <c r="O35" i="9"/>
  <c r="N35" i="9"/>
  <c r="P34" i="9"/>
  <c r="O34" i="9"/>
  <c r="N34" i="9"/>
  <c r="P33" i="9"/>
  <c r="O33" i="9"/>
  <c r="N33" i="9"/>
  <c r="P32" i="9"/>
  <c r="O32" i="9"/>
  <c r="N32" i="9"/>
  <c r="P31" i="9"/>
  <c r="O31" i="9"/>
  <c r="N31" i="9"/>
  <c r="P30" i="9"/>
  <c r="O30" i="9"/>
  <c r="N30" i="9"/>
  <c r="P29" i="9"/>
  <c r="O29" i="9"/>
  <c r="N29" i="9"/>
  <c r="P28" i="9"/>
  <c r="O28" i="9"/>
  <c r="N28" i="9"/>
  <c r="P27" i="9"/>
  <c r="O27" i="9"/>
  <c r="N27" i="9"/>
  <c r="P26" i="9"/>
  <c r="O26" i="9"/>
  <c r="N26" i="9"/>
  <c r="P25" i="9"/>
  <c r="O25" i="9"/>
  <c r="N25" i="9"/>
  <c r="P24" i="9"/>
  <c r="O24" i="9"/>
  <c r="N24" i="9"/>
  <c r="P23" i="9"/>
  <c r="O23" i="9"/>
  <c r="N23" i="9"/>
  <c r="P22" i="9"/>
  <c r="O22" i="9"/>
  <c r="N22" i="9"/>
  <c r="P21" i="9"/>
  <c r="O21" i="9"/>
  <c r="N21" i="9"/>
  <c r="P20" i="9"/>
  <c r="O20" i="9"/>
  <c r="N20" i="9"/>
  <c r="P19" i="9"/>
  <c r="O19" i="9"/>
  <c r="N19" i="9"/>
  <c r="P18" i="9"/>
  <c r="O18" i="9"/>
  <c r="N18" i="9"/>
  <c r="P17" i="9"/>
  <c r="O17" i="9"/>
  <c r="N17" i="9"/>
  <c r="P16" i="9"/>
  <c r="O16" i="9"/>
  <c r="N16" i="9"/>
  <c r="P15" i="9"/>
  <c r="O15" i="9"/>
  <c r="N15" i="9"/>
  <c r="P14" i="9"/>
  <c r="O14" i="9"/>
  <c r="N14" i="9"/>
  <c r="P13" i="9"/>
  <c r="O13" i="9"/>
  <c r="N13" i="9"/>
  <c r="P12" i="9"/>
  <c r="O12" i="9"/>
  <c r="N12" i="9"/>
  <c r="P11" i="9"/>
  <c r="O11" i="9"/>
  <c r="N11" i="9"/>
  <c r="P10" i="9"/>
  <c r="O10" i="9"/>
  <c r="N10" i="9"/>
</calcChain>
</file>

<file path=xl/sharedStrings.xml><?xml version="1.0" encoding="utf-8"?>
<sst xmlns="http://schemas.openxmlformats.org/spreadsheetml/2006/main" count="250" uniqueCount="130">
  <si>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</si>
  <si>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</si>
  <si>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</si>
  <si>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</si>
  <si>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</si>
  <si>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</si>
  <si>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</si>
  <si>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</si>
  <si>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</si>
  <si>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</si>
  <si>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</si>
  <si>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</si>
  <si>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</si>
  <si>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</si>
  <si>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</si>
  <si>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</si>
  <si>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</si>
  <si>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</si>
  <si>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</si>
  <si>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</si>
  <si>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</si>
  <si>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</si>
  <si>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</si>
  <si>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</si>
  <si>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Abid Zuhair</t>
  </si>
  <si>
    <t>NH = Nilai Harian</t>
  </si>
  <si>
    <t>AHMAD OKA AL FATIH</t>
  </si>
  <si>
    <t>UH = Ulangan Harian</t>
  </si>
  <si>
    <t>AHYA MAULIDAN</t>
  </si>
  <si>
    <t>US = Ujian Sekolah</t>
  </si>
  <si>
    <t>AKIL ZAYDAN RAHMANA</t>
  </si>
  <si>
    <t xml:space="preserve">NR = Nilai Raport </t>
  </si>
  <si>
    <t>Arga Reyhan Bahari</t>
  </si>
  <si>
    <t>Pembagi Rata2 Disesuaikan dengan bayaknya LM</t>
  </si>
  <si>
    <t>ARKAAN FAIZ</t>
  </si>
  <si>
    <t>ARYAN IHTISYAM ADHA</t>
  </si>
  <si>
    <t>AUFAR ALFARIZI</t>
  </si>
  <si>
    <t>BARIQ HIJRI AKBAR</t>
  </si>
  <si>
    <t>DAFFI AZMI</t>
  </si>
  <si>
    <t>ELKAN ABSANA TANJUNG</t>
  </si>
  <si>
    <t>Fahrian Haikal Ginting</t>
  </si>
  <si>
    <t>FATHIN ASY - SYAUQI</t>
  </si>
  <si>
    <t>FATIH ELKARIM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</si>
  <si>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</si>
  <si>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</si>
  <si>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</si>
  <si>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</si>
  <si>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</si>
  <si>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</si>
  <si>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</si>
  <si>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</si>
  <si>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</si>
  <si>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</si>
  <si>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</si>
  <si>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</si>
  <si>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</si>
  <si>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</si>
  <si>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</si>
  <si>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</si>
  <si>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</si>
  <si>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</si>
  <si>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Medan,     Januari 2026</t>
  </si>
  <si>
    <t>Guru Bidang Study</t>
  </si>
  <si>
    <t>_________________________</t>
  </si>
  <si>
    <t>AFIFAH DHIA FADILLAH</t>
  </si>
  <si>
    <t>ALIFIA AJWA</t>
  </si>
  <si>
    <t>AURELIA MUTIARA RAMDANI</t>
  </si>
  <si>
    <t>AZIZAH ZAHRA SIREGAR</t>
  </si>
  <si>
    <t>AZURA FAIRUUS BARDANI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</si>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</sst>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</font>
    <font>
      <sz val="12"/>
      <color theme="1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1" fontId="2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2" borderId="1" xfId="0" applyFill="1" applyBorder="1"/>
    <xf numFmtId="0" fontId="0" fillId="0" borderId="1" xfId="0" applyBorder="1"/>
    <xf numFmtId="1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10" fillId="2" borderId="1" xfId="0" applyFont="1" applyFill="1" applyBorder="1" applyAlignment="1">
      <alignment horizontal="left"/>
    </xf>
    <xf numFmtId="0" fontId="0" fillId="2" borderId="0" xfId="0" applyFill="1"/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zoomScale="70" zoomScaleNormal="70" workbookViewId="0">
      <selection activeCell="M42" sqref="M42"/>
    </sheetView>
  </sheetViews>
  <sheetFormatPr defaultColWidth="9" defaultRowHeight="14.5"/>
  <cols>
    <col min="2" max="2" width="40.1796875" customWidth="1"/>
    <col min="10" max="10" width="9.26953125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"/>
      <c r="R1" s="1"/>
    </row>
    <row r="2" spans="1:18" ht="17.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 customHeight="1">
      <c r="A8" s="28" t="s">
        <v>6</v>
      </c>
      <c r="B8" s="29" t="s">
        <v>7</v>
      </c>
      <c r="C8" s="24" t="s">
        <v>8</v>
      </c>
      <c r="D8" s="24"/>
      <c r="E8" s="24"/>
      <c r="F8" s="24"/>
      <c r="G8" s="24"/>
      <c r="H8" s="25" t="s">
        <v>9</v>
      </c>
      <c r="I8" s="25"/>
      <c r="J8" s="25"/>
      <c r="K8" s="25"/>
      <c r="L8" s="25"/>
      <c r="M8" s="5" t="s">
        <v>10</v>
      </c>
      <c r="N8" s="26" t="s">
        <v>11</v>
      </c>
      <c r="O8" s="27"/>
      <c r="P8" s="6" t="s">
        <v>12</v>
      </c>
      <c r="R8" s="7" t="s">
        <v>13</v>
      </c>
    </row>
    <row r="9" spans="1:18" ht="14.5" customHeight="1">
      <c r="A9" s="28"/>
      <c r="B9" s="29"/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4" t="s">
        <v>14</v>
      </c>
      <c r="I9" s="4" t="s">
        <v>19</v>
      </c>
      <c r="J9" s="4" t="s">
        <v>16</v>
      </c>
      <c r="K9" s="4" t="s">
        <v>17</v>
      </c>
      <c r="L9" s="4" t="s">
        <v>18</v>
      </c>
      <c r="M9" s="5" t="s">
        <v>20</v>
      </c>
      <c r="N9" s="8" t="s">
        <v>21</v>
      </c>
      <c r="O9" s="8" t="s">
        <v>22</v>
      </c>
      <c r="P9" s="9"/>
      <c r="R9" s="2" t="s">
        <v>23</v>
      </c>
    </row>
    <row r="10" spans="1:18">
      <c r="A10" s="10">
        <v>1</v>
      </c>
      <c r="B10" s="11" t="s">
        <v>24</v>
      </c>
      <c r="C10" s="12">
        <v>90</v>
      </c>
      <c r="D10" s="10">
        <v>90</v>
      </c>
      <c r="E10" s="13"/>
      <c r="F10" s="14"/>
      <c r="G10" s="14"/>
      <c r="H10" s="15">
        <v>85</v>
      </c>
      <c r="I10" s="15">
        <v>85</v>
      </c>
      <c r="J10" s="15"/>
      <c r="K10" s="15"/>
      <c r="L10" s="15"/>
      <c r="M10" s="16">
        <v>70</v>
      </c>
      <c r="N10" s="13">
        <f>AVERAGE(C10:D10)</f>
        <v>90</v>
      </c>
      <c r="O10" s="13">
        <f>AVERAGE(H10:I10)</f>
        <v>85</v>
      </c>
      <c r="P10" s="12">
        <f>(M10*30/100)+(N10*35/100)+(O10*35/100)</f>
        <v>82.25</v>
      </c>
      <c r="R10" s="2" t="s">
        <v>25</v>
      </c>
    </row>
    <row r="11" spans="1:18">
      <c r="A11" s="10">
        <v>2</v>
      </c>
      <c r="B11" s="11" t="s">
        <v>26</v>
      </c>
      <c r="C11" s="12">
        <v>90</v>
      </c>
      <c r="D11" s="12">
        <v>90</v>
      </c>
      <c r="E11" s="12"/>
      <c r="F11" s="17"/>
      <c r="G11" s="17"/>
      <c r="H11" s="10">
        <v>85</v>
      </c>
      <c r="I11" s="10">
        <v>85</v>
      </c>
      <c r="J11" s="10"/>
      <c r="K11" s="10"/>
      <c r="L11" s="10"/>
      <c r="M11" s="18">
        <v>76</v>
      </c>
      <c r="N11" s="13">
        <f t="shared" ref="N11:N41" si="0">AVERAGE(C11:D11)</f>
        <v>90</v>
      </c>
      <c r="O11" s="13">
        <f t="shared" ref="O11:O41" si="1">AVERAGE(H11:I11)</f>
        <v>85</v>
      </c>
      <c r="P11" s="12">
        <f t="shared" ref="P11:P44" si="2">(M11*30/100)+(N11*35/100)+(O11*35/100)</f>
        <v>84.05</v>
      </c>
      <c r="R11" s="2" t="s">
        <v>27</v>
      </c>
    </row>
    <row r="12" spans="1:18">
      <c r="A12" s="10">
        <v>3</v>
      </c>
      <c r="B12" s="11" t="s">
        <v>28</v>
      </c>
      <c r="C12" s="12">
        <v>90</v>
      </c>
      <c r="D12" s="10">
        <v>90</v>
      </c>
      <c r="E12" s="12"/>
      <c r="F12" s="17"/>
      <c r="G12" s="17"/>
      <c r="H12" s="15">
        <v>88</v>
      </c>
      <c r="I12" s="15">
        <v>88</v>
      </c>
      <c r="J12" s="10"/>
      <c r="K12" s="10"/>
      <c r="L12" s="10"/>
      <c r="M12" s="18">
        <v>66</v>
      </c>
      <c r="N12" s="13">
        <f t="shared" si="0"/>
        <v>90</v>
      </c>
      <c r="O12" s="13">
        <f t="shared" si="1"/>
        <v>88</v>
      </c>
      <c r="P12" s="12">
        <f t="shared" si="2"/>
        <v>82.1</v>
      </c>
      <c r="R12" s="2" t="s">
        <v>29</v>
      </c>
    </row>
    <row r="13" spans="1:18">
      <c r="A13" s="10">
        <v>4</v>
      </c>
      <c r="B13" s="11" t="s">
        <v>30</v>
      </c>
      <c r="C13" s="12">
        <v>90</v>
      </c>
      <c r="D13" s="12">
        <v>90</v>
      </c>
      <c r="E13" s="12"/>
      <c r="F13" s="17"/>
      <c r="G13" s="17"/>
      <c r="H13" s="10">
        <v>85</v>
      </c>
      <c r="I13" s="10">
        <v>85</v>
      </c>
      <c r="J13" s="10"/>
      <c r="K13" s="10"/>
      <c r="L13" s="10"/>
      <c r="M13" s="18">
        <v>89</v>
      </c>
      <c r="N13" s="13">
        <f t="shared" si="0"/>
        <v>90</v>
      </c>
      <c r="O13" s="13">
        <f t="shared" si="1"/>
        <v>85</v>
      </c>
      <c r="P13" s="12">
        <f t="shared" si="2"/>
        <v>87.95</v>
      </c>
      <c r="R13" s="2" t="s">
        <v>31</v>
      </c>
    </row>
    <row r="14" spans="1:18">
      <c r="A14" s="10">
        <v>5</v>
      </c>
      <c r="B14" s="11" t="s">
        <v>32</v>
      </c>
      <c r="C14" s="12">
        <v>90</v>
      </c>
      <c r="D14" s="10">
        <v>90</v>
      </c>
      <c r="E14" s="12"/>
      <c r="F14" s="17"/>
      <c r="G14" s="17"/>
      <c r="H14" s="15">
        <v>85</v>
      </c>
      <c r="I14" s="15">
        <v>85</v>
      </c>
      <c r="J14" s="10"/>
      <c r="K14" s="10"/>
      <c r="L14" s="10"/>
      <c r="M14" s="18">
        <v>73</v>
      </c>
      <c r="N14" s="13">
        <f t="shared" si="0"/>
        <v>90</v>
      </c>
      <c r="O14" s="13">
        <f t="shared" si="1"/>
        <v>85</v>
      </c>
      <c r="P14" s="12">
        <f t="shared" si="2"/>
        <v>83.15</v>
      </c>
      <c r="R14" s="2" t="s">
        <v>33</v>
      </c>
    </row>
    <row r="15" spans="1:18">
      <c r="A15" s="10">
        <v>6</v>
      </c>
      <c r="B15" s="11" t="s">
        <v>34</v>
      </c>
      <c r="C15" s="12">
        <v>90</v>
      </c>
      <c r="D15" s="12">
        <v>90</v>
      </c>
      <c r="E15" s="12"/>
      <c r="F15" s="17"/>
      <c r="G15" s="17"/>
      <c r="H15" s="10">
        <v>85</v>
      </c>
      <c r="I15" s="10">
        <v>85</v>
      </c>
      <c r="J15" s="10"/>
      <c r="K15" s="10"/>
      <c r="L15" s="10"/>
      <c r="M15" s="18">
        <v>65</v>
      </c>
      <c r="N15" s="13">
        <f t="shared" si="0"/>
        <v>90</v>
      </c>
      <c r="O15" s="13">
        <f t="shared" si="1"/>
        <v>85</v>
      </c>
      <c r="P15" s="12">
        <f t="shared" si="2"/>
        <v>80.75</v>
      </c>
      <c r="R15" s="19"/>
    </row>
    <row r="16" spans="1:18">
      <c r="A16" s="10">
        <v>7</v>
      </c>
      <c r="B16" s="11" t="s">
        <v>35</v>
      </c>
      <c r="C16" s="12">
        <v>90</v>
      </c>
      <c r="D16" s="10">
        <v>90</v>
      </c>
      <c r="E16" s="12"/>
      <c r="F16" s="17"/>
      <c r="G16" s="17"/>
      <c r="H16" s="15">
        <v>85</v>
      </c>
      <c r="I16" s="15">
        <v>90</v>
      </c>
      <c r="J16" s="10"/>
      <c r="K16" s="10"/>
      <c r="L16" s="10"/>
      <c r="M16" s="18">
        <v>82</v>
      </c>
      <c r="N16" s="13">
        <f t="shared" si="0"/>
        <v>90</v>
      </c>
      <c r="O16" s="13">
        <f t="shared" si="1"/>
        <v>87.5</v>
      </c>
      <c r="P16" s="12">
        <f t="shared" si="2"/>
        <v>86.724999999999994</v>
      </c>
      <c r="R16" s="19"/>
    </row>
    <row r="17" spans="1:18">
      <c r="A17" s="10">
        <v>8</v>
      </c>
      <c r="B17" s="11" t="s">
        <v>36</v>
      </c>
      <c r="C17" s="12">
        <v>90</v>
      </c>
      <c r="D17" s="12">
        <v>90</v>
      </c>
      <c r="E17" s="12"/>
      <c r="F17" s="17"/>
      <c r="G17" s="17"/>
      <c r="H17" s="10">
        <v>85</v>
      </c>
      <c r="I17" s="10">
        <v>85</v>
      </c>
      <c r="J17" s="10"/>
      <c r="K17" s="10"/>
      <c r="L17" s="10"/>
      <c r="M17" s="18">
        <v>89</v>
      </c>
      <c r="N17" s="13">
        <f t="shared" si="0"/>
        <v>90</v>
      </c>
      <c r="O17" s="13">
        <f t="shared" si="1"/>
        <v>85</v>
      </c>
      <c r="P17" s="12">
        <f t="shared" si="2"/>
        <v>87.95</v>
      </c>
      <c r="R17" s="19"/>
    </row>
    <row r="18" spans="1:18">
      <c r="A18" s="10">
        <v>9</v>
      </c>
      <c r="B18" s="11" t="s">
        <v>37</v>
      </c>
      <c r="C18" s="12">
        <v>90</v>
      </c>
      <c r="D18" s="10">
        <v>90</v>
      </c>
      <c r="E18" s="12"/>
      <c r="F18" s="17"/>
      <c r="G18" s="17"/>
      <c r="H18" s="15">
        <v>85</v>
      </c>
      <c r="I18" s="15">
        <v>85</v>
      </c>
      <c r="J18" s="10"/>
      <c r="K18" s="10"/>
      <c r="L18" s="10"/>
      <c r="M18" s="18">
        <v>71</v>
      </c>
      <c r="N18" s="13">
        <f t="shared" si="0"/>
        <v>90</v>
      </c>
      <c r="O18" s="13">
        <f t="shared" si="1"/>
        <v>85</v>
      </c>
      <c r="P18" s="12">
        <f t="shared" si="2"/>
        <v>82.55</v>
      </c>
      <c r="R18" s="19"/>
    </row>
    <row r="19" spans="1:18">
      <c r="A19" s="10">
        <v>10</v>
      </c>
      <c r="B19" s="11" t="s">
        <v>38</v>
      </c>
      <c r="C19" s="12">
        <v>90</v>
      </c>
      <c r="D19" s="12">
        <v>90</v>
      </c>
      <c r="E19" s="12"/>
      <c r="F19" s="17"/>
      <c r="G19" s="17"/>
      <c r="H19" s="10">
        <v>85</v>
      </c>
      <c r="I19" s="10">
        <v>85</v>
      </c>
      <c r="J19" s="10"/>
      <c r="K19" s="10"/>
      <c r="L19" s="10"/>
      <c r="M19" s="18">
        <v>86</v>
      </c>
      <c r="N19" s="13">
        <f t="shared" si="0"/>
        <v>90</v>
      </c>
      <c r="O19" s="13">
        <f t="shared" si="1"/>
        <v>85</v>
      </c>
      <c r="P19" s="12">
        <f t="shared" si="2"/>
        <v>87.05</v>
      </c>
      <c r="R19" s="19"/>
    </row>
    <row r="20" spans="1:18">
      <c r="A20" s="10">
        <v>11</v>
      </c>
      <c r="B20" s="11" t="s">
        <v>39</v>
      </c>
      <c r="C20" s="12">
        <v>90</v>
      </c>
      <c r="D20" s="10">
        <v>90</v>
      </c>
      <c r="E20" s="12"/>
      <c r="F20" s="17"/>
      <c r="G20" s="17"/>
      <c r="H20" s="15">
        <v>90</v>
      </c>
      <c r="I20" s="15">
        <v>90</v>
      </c>
      <c r="J20" s="10"/>
      <c r="K20" s="10"/>
      <c r="L20" s="10"/>
      <c r="M20" s="18">
        <v>82</v>
      </c>
      <c r="N20" s="13">
        <f t="shared" si="0"/>
        <v>90</v>
      </c>
      <c r="O20" s="13">
        <f t="shared" si="1"/>
        <v>90</v>
      </c>
      <c r="P20" s="12">
        <f t="shared" si="2"/>
        <v>87.6</v>
      </c>
      <c r="R20" s="19"/>
    </row>
    <row r="21" spans="1:18">
      <c r="A21" s="10">
        <v>12</v>
      </c>
      <c r="B21" s="11" t="s">
        <v>40</v>
      </c>
      <c r="C21" s="12">
        <v>90</v>
      </c>
      <c r="D21" s="12">
        <v>90</v>
      </c>
      <c r="E21" s="12"/>
      <c r="F21" s="17"/>
      <c r="G21" s="17"/>
      <c r="H21" s="10">
        <v>85</v>
      </c>
      <c r="I21" s="10">
        <v>85</v>
      </c>
      <c r="J21" s="10"/>
      <c r="K21" s="10"/>
      <c r="L21" s="10"/>
      <c r="M21" s="18">
        <v>65</v>
      </c>
      <c r="N21" s="13">
        <f t="shared" si="0"/>
        <v>90</v>
      </c>
      <c r="O21" s="13">
        <f t="shared" si="1"/>
        <v>85</v>
      </c>
      <c r="P21" s="12">
        <f t="shared" si="2"/>
        <v>80.75</v>
      </c>
      <c r="R21" s="19"/>
    </row>
    <row r="22" spans="1:18">
      <c r="A22" s="10">
        <v>13</v>
      </c>
      <c r="B22" s="11" t="s">
        <v>41</v>
      </c>
      <c r="C22" s="12">
        <v>90</v>
      </c>
      <c r="D22" s="10">
        <v>90</v>
      </c>
      <c r="E22" s="12"/>
      <c r="F22" s="17"/>
      <c r="G22" s="17"/>
      <c r="H22" s="15">
        <v>85</v>
      </c>
      <c r="I22" s="15">
        <v>85</v>
      </c>
      <c r="J22" s="10"/>
      <c r="K22" s="10"/>
      <c r="L22" s="10"/>
      <c r="M22" s="18">
        <v>82</v>
      </c>
      <c r="N22" s="13">
        <f t="shared" si="0"/>
        <v>90</v>
      </c>
      <c r="O22" s="13">
        <f t="shared" si="1"/>
        <v>85</v>
      </c>
      <c r="P22" s="12">
        <f t="shared" si="2"/>
        <v>85.85</v>
      </c>
      <c r="R22" s="19"/>
    </row>
    <row r="23" spans="1:18">
      <c r="A23" s="10">
        <v>14</v>
      </c>
      <c r="B23" s="11" t="s">
        <v>42</v>
      </c>
      <c r="C23" s="12">
        <v>90</v>
      </c>
      <c r="D23" s="12">
        <v>90</v>
      </c>
      <c r="E23" s="12"/>
      <c r="F23" s="17"/>
      <c r="G23" s="17"/>
      <c r="H23" s="10">
        <v>85</v>
      </c>
      <c r="I23" s="10">
        <v>85</v>
      </c>
      <c r="J23" s="10"/>
      <c r="K23" s="10"/>
      <c r="L23" s="10"/>
      <c r="M23" s="18">
        <v>85</v>
      </c>
      <c r="N23" s="13">
        <f t="shared" si="0"/>
        <v>90</v>
      </c>
      <c r="O23" s="13">
        <f t="shared" si="1"/>
        <v>85</v>
      </c>
      <c r="P23" s="12">
        <f t="shared" si="2"/>
        <v>86.75</v>
      </c>
      <c r="R23" s="19"/>
    </row>
    <row r="24" spans="1:18">
      <c r="A24" s="10">
        <v>15</v>
      </c>
      <c r="B24" s="11" t="s">
        <v>43</v>
      </c>
      <c r="C24" s="12">
        <v>90</v>
      </c>
      <c r="D24" s="10">
        <v>90</v>
      </c>
      <c r="E24" s="12"/>
      <c r="F24" s="17"/>
      <c r="G24" s="17"/>
      <c r="H24" s="15">
        <v>85</v>
      </c>
      <c r="I24" s="15">
        <v>85</v>
      </c>
      <c r="J24" s="10"/>
      <c r="K24" s="10"/>
      <c r="L24" s="10"/>
      <c r="M24" s="18">
        <v>65</v>
      </c>
      <c r="N24" s="13">
        <f t="shared" si="0"/>
        <v>90</v>
      </c>
      <c r="O24" s="13">
        <f t="shared" si="1"/>
        <v>85</v>
      </c>
      <c r="P24" s="12">
        <f t="shared" si="2"/>
        <v>80.75</v>
      </c>
      <c r="R24" s="19"/>
    </row>
    <row r="25" spans="1:18">
      <c r="A25" s="10">
        <v>16</v>
      </c>
      <c r="B25" s="11" t="s">
        <v>44</v>
      </c>
      <c r="C25" s="12">
        <v>90</v>
      </c>
      <c r="D25" s="12">
        <v>90</v>
      </c>
      <c r="E25" s="12"/>
      <c r="F25" s="17"/>
      <c r="G25" s="17"/>
      <c r="H25" s="10">
        <v>85</v>
      </c>
      <c r="I25" s="10">
        <v>85</v>
      </c>
      <c r="J25" s="10"/>
      <c r="K25" s="10"/>
      <c r="L25" s="10"/>
      <c r="M25" s="18">
        <v>65</v>
      </c>
      <c r="N25" s="13">
        <f t="shared" si="0"/>
        <v>90</v>
      </c>
      <c r="O25" s="13">
        <f t="shared" si="1"/>
        <v>85</v>
      </c>
      <c r="P25" s="12">
        <f t="shared" si="2"/>
        <v>80.75</v>
      </c>
      <c r="R25" s="19"/>
    </row>
    <row r="26" spans="1:18">
      <c r="A26" s="10">
        <v>17</v>
      </c>
      <c r="B26" s="11" t="s">
        <v>45</v>
      </c>
      <c r="C26" s="12">
        <v>90</v>
      </c>
      <c r="D26" s="10">
        <v>90</v>
      </c>
      <c r="E26" s="12"/>
      <c r="F26" s="17"/>
      <c r="G26" s="17"/>
      <c r="H26" s="15">
        <v>85</v>
      </c>
      <c r="I26" s="15">
        <v>85</v>
      </c>
      <c r="J26" s="10"/>
      <c r="K26" s="10"/>
      <c r="L26" s="10"/>
      <c r="M26" s="18">
        <v>65</v>
      </c>
      <c r="N26" s="13">
        <f t="shared" si="0"/>
        <v>90</v>
      </c>
      <c r="O26" s="13">
        <f t="shared" si="1"/>
        <v>85</v>
      </c>
      <c r="P26" s="12">
        <f t="shared" si="2"/>
        <v>80.75</v>
      </c>
      <c r="R26" s="19"/>
    </row>
    <row r="27" spans="1:18">
      <c r="A27" s="10">
        <v>18</v>
      </c>
      <c r="B27" s="11" t="s">
        <v>46</v>
      </c>
      <c r="C27" s="12">
        <v>90</v>
      </c>
      <c r="D27" s="12">
        <v>90</v>
      </c>
      <c r="E27" s="12"/>
      <c r="F27" s="17"/>
      <c r="G27" s="17"/>
      <c r="H27" s="10">
        <v>85</v>
      </c>
      <c r="I27" s="10">
        <v>85</v>
      </c>
      <c r="J27" s="10"/>
      <c r="K27" s="10"/>
      <c r="L27" s="10"/>
      <c r="M27" s="18">
        <v>85</v>
      </c>
      <c r="N27" s="13">
        <f t="shared" si="0"/>
        <v>90</v>
      </c>
      <c r="O27" s="13">
        <f t="shared" si="1"/>
        <v>85</v>
      </c>
      <c r="P27" s="12">
        <f t="shared" si="2"/>
        <v>86.75</v>
      </c>
      <c r="R27" s="19"/>
    </row>
    <row r="28" spans="1:18">
      <c r="A28" s="10">
        <v>19</v>
      </c>
      <c r="B28" s="11" t="s">
        <v>47</v>
      </c>
      <c r="C28" s="12">
        <v>90</v>
      </c>
      <c r="D28" s="10">
        <v>90</v>
      </c>
      <c r="E28" s="12"/>
      <c r="F28" s="17"/>
      <c r="G28" s="17"/>
      <c r="H28" s="15">
        <v>85</v>
      </c>
      <c r="I28" s="15">
        <v>85</v>
      </c>
      <c r="J28" s="10"/>
      <c r="K28" s="10"/>
      <c r="L28" s="10"/>
      <c r="M28" s="18">
        <v>65</v>
      </c>
      <c r="N28" s="13">
        <f t="shared" si="0"/>
        <v>90</v>
      </c>
      <c r="O28" s="13">
        <f t="shared" si="1"/>
        <v>85</v>
      </c>
      <c r="P28" s="12">
        <f t="shared" si="2"/>
        <v>80.75</v>
      </c>
      <c r="R28" s="19"/>
    </row>
    <row r="29" spans="1:18">
      <c r="A29" s="10">
        <v>20</v>
      </c>
      <c r="B29" s="11" t="s">
        <v>48</v>
      </c>
      <c r="C29" s="12">
        <v>90</v>
      </c>
      <c r="D29" s="12">
        <v>90</v>
      </c>
      <c r="E29" s="12"/>
      <c r="F29" s="17"/>
      <c r="G29" s="17"/>
      <c r="H29" s="10">
        <v>85</v>
      </c>
      <c r="I29" s="10">
        <v>85</v>
      </c>
      <c r="J29" s="10"/>
      <c r="K29" s="10"/>
      <c r="L29" s="10"/>
      <c r="M29" s="18">
        <v>74</v>
      </c>
      <c r="N29" s="13">
        <f t="shared" si="0"/>
        <v>90</v>
      </c>
      <c r="O29" s="13">
        <f t="shared" si="1"/>
        <v>85</v>
      </c>
      <c r="P29" s="12">
        <f t="shared" si="2"/>
        <v>83.45</v>
      </c>
      <c r="R29" s="19"/>
    </row>
    <row r="30" spans="1:18">
      <c r="A30" s="10">
        <v>21</v>
      </c>
      <c r="B30" s="11" t="s">
        <v>49</v>
      </c>
      <c r="C30" s="12">
        <v>90</v>
      </c>
      <c r="D30" s="10">
        <v>90</v>
      </c>
      <c r="E30" s="12"/>
      <c r="F30" s="17"/>
      <c r="G30" s="17"/>
      <c r="H30" s="15">
        <v>85</v>
      </c>
      <c r="I30" s="15">
        <v>85</v>
      </c>
      <c r="J30" s="10"/>
      <c r="K30" s="10"/>
      <c r="L30" s="10"/>
      <c r="M30" s="18">
        <v>65</v>
      </c>
      <c r="N30" s="13">
        <f t="shared" si="0"/>
        <v>90</v>
      </c>
      <c r="O30" s="13">
        <f t="shared" si="1"/>
        <v>85</v>
      </c>
      <c r="P30" s="12">
        <f t="shared" si="2"/>
        <v>80.75</v>
      </c>
      <c r="R30" s="19"/>
    </row>
    <row r="31" spans="1:18">
      <c r="A31" s="10">
        <v>22</v>
      </c>
      <c r="B31" s="11" t="s">
        <v>50</v>
      </c>
      <c r="C31" s="12">
        <v>90</v>
      </c>
      <c r="D31" s="12">
        <v>90</v>
      </c>
      <c r="E31" s="12"/>
      <c r="F31" s="17"/>
      <c r="G31" s="17"/>
      <c r="H31" s="10">
        <v>85</v>
      </c>
      <c r="I31" s="10">
        <v>85</v>
      </c>
      <c r="J31" s="10"/>
      <c r="K31" s="10"/>
      <c r="L31" s="10"/>
      <c r="M31" s="18">
        <v>83</v>
      </c>
      <c r="N31" s="13">
        <f t="shared" si="0"/>
        <v>90</v>
      </c>
      <c r="O31" s="13">
        <f t="shared" si="1"/>
        <v>85</v>
      </c>
      <c r="P31" s="12">
        <f t="shared" si="2"/>
        <v>86.15</v>
      </c>
      <c r="R31" s="19"/>
    </row>
    <row r="32" spans="1:18">
      <c r="A32" s="10">
        <v>23</v>
      </c>
      <c r="B32" s="11" t="s">
        <v>51</v>
      </c>
      <c r="C32" s="12">
        <v>90</v>
      </c>
      <c r="D32" s="10">
        <v>90</v>
      </c>
      <c r="E32" s="12"/>
      <c r="F32" s="17"/>
      <c r="G32" s="17"/>
      <c r="H32" s="15">
        <v>85</v>
      </c>
      <c r="I32" s="15">
        <v>85</v>
      </c>
      <c r="J32" s="10"/>
      <c r="K32" s="10"/>
      <c r="L32" s="10"/>
      <c r="M32" s="18">
        <v>71</v>
      </c>
      <c r="N32" s="13">
        <f t="shared" si="0"/>
        <v>90</v>
      </c>
      <c r="O32" s="13">
        <f t="shared" si="1"/>
        <v>85</v>
      </c>
      <c r="P32" s="12">
        <f t="shared" si="2"/>
        <v>82.55</v>
      </c>
      <c r="R32" s="19"/>
    </row>
    <row r="33" spans="1:27">
      <c r="A33" s="10">
        <v>24</v>
      </c>
      <c r="B33" s="11" t="s">
        <v>52</v>
      </c>
      <c r="C33" s="12">
        <v>90</v>
      </c>
      <c r="D33" s="12">
        <v>90</v>
      </c>
      <c r="E33" s="12"/>
      <c r="F33" s="17"/>
      <c r="G33" s="17"/>
      <c r="H33" s="10">
        <v>85</v>
      </c>
      <c r="I33" s="10">
        <v>85</v>
      </c>
      <c r="J33" s="10"/>
      <c r="K33" s="10"/>
      <c r="L33" s="10"/>
      <c r="M33" s="18">
        <v>71</v>
      </c>
      <c r="N33" s="13">
        <f t="shared" si="0"/>
        <v>90</v>
      </c>
      <c r="O33" s="13">
        <f t="shared" si="1"/>
        <v>85</v>
      </c>
      <c r="P33" s="12">
        <f t="shared" si="2"/>
        <v>82.55</v>
      </c>
      <c r="R33" s="19"/>
    </row>
    <row r="34" spans="1:27">
      <c r="A34" s="10">
        <v>25</v>
      </c>
      <c r="B34" s="11" t="s">
        <v>53</v>
      </c>
      <c r="C34" s="12">
        <v>90</v>
      </c>
      <c r="D34" s="10">
        <v>90</v>
      </c>
      <c r="E34" s="12"/>
      <c r="F34" s="17"/>
      <c r="G34" s="17"/>
      <c r="H34" s="15">
        <v>85</v>
      </c>
      <c r="I34" s="15">
        <v>85</v>
      </c>
      <c r="J34" s="10"/>
      <c r="K34" s="10"/>
      <c r="L34" s="10"/>
      <c r="M34" s="18">
        <v>71</v>
      </c>
      <c r="N34" s="13">
        <f t="shared" si="0"/>
        <v>90</v>
      </c>
      <c r="O34" s="13">
        <f t="shared" si="1"/>
        <v>85</v>
      </c>
      <c r="P34" s="12">
        <f t="shared" si="2"/>
        <v>82.55</v>
      </c>
      <c r="R34" s="19"/>
    </row>
    <row r="35" spans="1:27">
      <c r="A35" s="10">
        <v>26</v>
      </c>
      <c r="B35" s="11" t="s">
        <v>54</v>
      </c>
      <c r="C35" s="12">
        <v>90</v>
      </c>
      <c r="D35" s="12">
        <v>90</v>
      </c>
      <c r="E35" s="12"/>
      <c r="F35" s="17"/>
      <c r="G35" s="17"/>
      <c r="H35" s="10">
        <v>85</v>
      </c>
      <c r="I35" s="10">
        <v>90</v>
      </c>
      <c r="J35" s="10"/>
      <c r="K35" s="20"/>
      <c r="L35" s="20"/>
      <c r="M35" s="18">
        <v>76</v>
      </c>
      <c r="N35" s="13">
        <f t="shared" si="0"/>
        <v>90</v>
      </c>
      <c r="O35" s="13">
        <f t="shared" si="1"/>
        <v>87.5</v>
      </c>
      <c r="P35" s="12">
        <f t="shared" si="2"/>
        <v>84.924999999999997</v>
      </c>
      <c r="R35" s="19"/>
    </row>
    <row r="36" spans="1:27">
      <c r="A36" s="10">
        <v>27</v>
      </c>
      <c r="B36" s="11" t="s">
        <v>55</v>
      </c>
      <c r="C36" s="12">
        <v>90</v>
      </c>
      <c r="D36" s="10">
        <v>90</v>
      </c>
      <c r="E36" s="12"/>
      <c r="F36" s="17"/>
      <c r="G36" s="17"/>
      <c r="H36" s="15">
        <v>85</v>
      </c>
      <c r="I36" s="15">
        <v>85</v>
      </c>
      <c r="J36" s="10"/>
      <c r="K36" s="10"/>
      <c r="L36" s="10"/>
      <c r="M36" s="18">
        <v>71</v>
      </c>
      <c r="N36" s="13">
        <f t="shared" si="0"/>
        <v>90</v>
      </c>
      <c r="O36" s="13">
        <f t="shared" si="1"/>
        <v>85</v>
      </c>
      <c r="P36" s="12">
        <f t="shared" si="2"/>
        <v>82.55</v>
      </c>
      <c r="R36" s="19"/>
    </row>
    <row r="37" spans="1:27">
      <c r="A37" s="10">
        <v>28</v>
      </c>
      <c r="B37" s="11" t="s">
        <v>56</v>
      </c>
      <c r="C37" s="12">
        <v>90</v>
      </c>
      <c r="D37" s="12">
        <v>90</v>
      </c>
      <c r="E37" s="12"/>
      <c r="F37" s="17"/>
      <c r="G37" s="17"/>
      <c r="H37" s="10">
        <v>85</v>
      </c>
      <c r="I37" s="10">
        <v>85</v>
      </c>
      <c r="J37" s="10"/>
      <c r="K37" s="10"/>
      <c r="L37" s="10"/>
      <c r="M37" s="18">
        <v>71</v>
      </c>
      <c r="N37" s="13">
        <f t="shared" si="0"/>
        <v>90</v>
      </c>
      <c r="O37" s="13">
        <f t="shared" si="1"/>
        <v>85</v>
      </c>
      <c r="P37" s="12">
        <f t="shared" si="2"/>
        <v>82.55</v>
      </c>
      <c r="R37" s="19"/>
    </row>
    <row r="38" spans="1:27">
      <c r="A38" s="10">
        <v>29</v>
      </c>
      <c r="B38" s="11" t="s">
        <v>57</v>
      </c>
      <c r="C38" s="12">
        <v>90</v>
      </c>
      <c r="D38" s="10">
        <v>90</v>
      </c>
      <c r="E38" s="10"/>
      <c r="F38" s="17"/>
      <c r="G38" s="17"/>
      <c r="H38" s="15">
        <v>85</v>
      </c>
      <c r="I38" s="15">
        <v>85</v>
      </c>
      <c r="J38" s="10"/>
      <c r="K38" s="10"/>
      <c r="L38" s="10"/>
      <c r="M38" s="18">
        <v>84</v>
      </c>
      <c r="N38" s="13">
        <f t="shared" si="0"/>
        <v>90</v>
      </c>
      <c r="O38" s="13">
        <f t="shared" si="1"/>
        <v>85</v>
      </c>
      <c r="P38" s="12">
        <f t="shared" si="2"/>
        <v>86.45</v>
      </c>
      <c r="R38" s="19"/>
    </row>
    <row r="39" spans="1:27">
      <c r="A39" s="10">
        <v>30</v>
      </c>
      <c r="B39" s="11" t="s">
        <v>58</v>
      </c>
      <c r="C39" s="12">
        <v>90</v>
      </c>
      <c r="D39" s="12">
        <v>90</v>
      </c>
      <c r="E39" s="18"/>
      <c r="F39" s="18"/>
      <c r="G39" s="18"/>
      <c r="H39" s="10">
        <v>95</v>
      </c>
      <c r="I39" s="10">
        <v>95</v>
      </c>
      <c r="J39" s="18"/>
      <c r="K39" s="18"/>
      <c r="L39" s="18"/>
      <c r="M39" s="18">
        <v>81</v>
      </c>
      <c r="N39" s="13">
        <f t="shared" si="0"/>
        <v>90</v>
      </c>
      <c r="O39" s="13">
        <f t="shared" si="1"/>
        <v>95</v>
      </c>
      <c r="P39" s="12">
        <f t="shared" si="2"/>
        <v>89.05</v>
      </c>
      <c r="Q39" s="1"/>
      <c r="R39" s="1"/>
      <c r="X39" s="21"/>
      <c r="AA39" s="21"/>
    </row>
    <row r="40" spans="1:27">
      <c r="A40" s="10">
        <v>31</v>
      </c>
      <c r="B40" s="11" t="s">
        <v>59</v>
      </c>
      <c r="C40" s="12">
        <v>90</v>
      </c>
      <c r="D40" s="10">
        <v>90</v>
      </c>
      <c r="E40" s="18"/>
      <c r="F40" s="18"/>
      <c r="G40" s="18"/>
      <c r="H40" s="15">
        <v>90</v>
      </c>
      <c r="I40" s="15">
        <v>90</v>
      </c>
      <c r="J40" s="18"/>
      <c r="K40" s="18"/>
      <c r="L40" s="18"/>
      <c r="M40" s="18">
        <v>70</v>
      </c>
      <c r="N40" s="13">
        <f t="shared" si="0"/>
        <v>90</v>
      </c>
      <c r="O40" s="13">
        <f t="shared" si="1"/>
        <v>90</v>
      </c>
      <c r="P40" s="12">
        <f t="shared" si="2"/>
        <v>84</v>
      </c>
      <c r="Q40" s="1"/>
      <c r="R40" s="1"/>
    </row>
    <row r="41" spans="1:27">
      <c r="A41" s="10">
        <v>32</v>
      </c>
      <c r="B41" s="11" t="s">
        <v>60</v>
      </c>
      <c r="C41" s="12">
        <v>90</v>
      </c>
      <c r="D41" s="12">
        <v>90</v>
      </c>
      <c r="E41" s="22"/>
      <c r="F41" s="22"/>
      <c r="G41" s="22"/>
      <c r="H41" s="10">
        <v>85</v>
      </c>
      <c r="I41" s="10">
        <v>85</v>
      </c>
      <c r="J41" s="22"/>
      <c r="K41" s="22"/>
      <c r="L41" s="22"/>
      <c r="M41" s="22">
        <v>74</v>
      </c>
      <c r="N41" s="13">
        <f t="shared" si="0"/>
        <v>90</v>
      </c>
      <c r="O41" s="13">
        <f t="shared" si="1"/>
        <v>85</v>
      </c>
      <c r="P41" s="12">
        <f t="shared" si="2"/>
        <v>83.45</v>
      </c>
      <c r="Q41" s="1"/>
      <c r="R41" s="1"/>
    </row>
    <row r="42" spans="1:27">
      <c r="A42" s="10">
        <v>33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8"/>
      <c r="O42" s="22"/>
      <c r="P42" s="12">
        <f t="shared" si="2"/>
        <v>0</v>
      </c>
      <c r="Q42" s="1"/>
      <c r="R42" s="1"/>
    </row>
    <row r="43" spans="1:27">
      <c r="A43" s="10">
        <v>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8"/>
      <c r="O43" s="22"/>
      <c r="P43" s="12">
        <f t="shared" si="2"/>
        <v>0</v>
      </c>
      <c r="Q43" s="1"/>
      <c r="R43" s="1"/>
    </row>
    <row r="44" spans="1:27">
      <c r="A44" s="10">
        <v>35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8"/>
      <c r="O44" s="22"/>
      <c r="P44" s="12">
        <f t="shared" si="2"/>
        <v>0</v>
      </c>
      <c r="Q44" s="1"/>
      <c r="R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7" spans="1:27">
      <c r="N47" s="2" t="s">
        <v>61</v>
      </c>
    </row>
    <row r="48" spans="1:27">
      <c r="N48" s="2" t="s">
        <v>62</v>
      </c>
    </row>
    <row r="49" spans="14:14">
      <c r="N49" s="2"/>
    </row>
    <row r="50" spans="14:14">
      <c r="N50" s="2"/>
    </row>
    <row r="51" spans="14:14">
      <c r="N51" s="2" t="s">
        <v>63</v>
      </c>
    </row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6947-8A65-4C55-9F92-81914D057AF1}">
  <dimension ref="A1:AA51"/>
  <sheetViews>
    <sheetView zoomScale="70" zoomScaleNormal="70" workbookViewId="0">
      <selection sqref="A1:XFD1048576"/>
    </sheetView>
  </sheetViews>
  <sheetFormatPr defaultColWidth="9" defaultRowHeight="14.5"/>
  <cols>
    <col min="2" max="2" width="40.1796875" customWidth="1"/>
    <col min="10" max="10" width="9.26953125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"/>
      <c r="R1" s="1"/>
    </row>
    <row r="2" spans="1:18" ht="17.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 customHeight="1">
      <c r="A8" s="28" t="s">
        <v>6</v>
      </c>
      <c r="B8" s="29" t="s">
        <v>7</v>
      </c>
      <c r="C8" s="24" t="s">
        <v>8</v>
      </c>
      <c r="D8" s="24"/>
      <c r="E8" s="24"/>
      <c r="F8" s="24"/>
      <c r="G8" s="24"/>
      <c r="H8" s="25" t="s">
        <v>9</v>
      </c>
      <c r="I8" s="25"/>
      <c r="J8" s="25"/>
      <c r="K8" s="25"/>
      <c r="L8" s="25"/>
      <c r="M8" s="5" t="s">
        <v>10</v>
      </c>
      <c r="N8" s="26" t="s">
        <v>11</v>
      </c>
      <c r="O8" s="27"/>
      <c r="P8" s="6" t="s">
        <v>12</v>
      </c>
      <c r="R8" s="7" t="s">
        <v>13</v>
      </c>
    </row>
    <row r="9" spans="1:18" ht="14.5" customHeight="1">
      <c r="A9" s="28"/>
      <c r="B9" s="29"/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4" t="s">
        <v>14</v>
      </c>
      <c r="I9" s="4" t="s">
        <v>19</v>
      </c>
      <c r="J9" s="4" t="s">
        <v>16</v>
      </c>
      <c r="K9" s="4" t="s">
        <v>17</v>
      </c>
      <c r="L9" s="4" t="s">
        <v>18</v>
      </c>
      <c r="M9" s="5" t="s">
        <v>20</v>
      </c>
      <c r="N9" s="8" t="s">
        <v>21</v>
      </c>
      <c r="O9" s="8" t="s">
        <v>22</v>
      </c>
      <c r="P9" s="9"/>
      <c r="R9" s="2" t="s">
        <v>23</v>
      </c>
    </row>
    <row r="10" spans="1:18">
      <c r="A10" s="10">
        <v>1</v>
      </c>
      <c r="B10" s="30" t="s">
        <v>64</v>
      </c>
      <c r="C10" s="15">
        <v>90</v>
      </c>
      <c r="D10" s="15">
        <v>90</v>
      </c>
      <c r="E10" s="13"/>
      <c r="F10" s="14"/>
      <c r="G10" s="14"/>
      <c r="H10" s="15">
        <v>90</v>
      </c>
      <c r="I10" s="15">
        <v>90</v>
      </c>
      <c r="J10" s="15"/>
      <c r="K10" s="15"/>
      <c r="L10" s="15"/>
      <c r="M10" s="16">
        <v>74</v>
      </c>
      <c r="N10" s="13">
        <f>AVERAGE(C10:D10)</f>
        <v>90</v>
      </c>
      <c r="O10" s="13">
        <f>AVERAGE(H10:I10)</f>
        <v>90</v>
      </c>
      <c r="P10" s="12">
        <f>(M10*30/100)+(N10*35/100)+(O10*35/100)</f>
        <v>85.2</v>
      </c>
      <c r="R10" s="2" t="s">
        <v>25</v>
      </c>
    </row>
    <row r="11" spans="1:18">
      <c r="A11" s="10">
        <v>2</v>
      </c>
      <c r="B11" s="30" t="s">
        <v>65</v>
      </c>
      <c r="C11" s="10">
        <v>85</v>
      </c>
      <c r="D11" s="10">
        <v>85</v>
      </c>
      <c r="E11" s="12"/>
      <c r="F11" s="17"/>
      <c r="G11" s="17"/>
      <c r="H11" s="10">
        <v>85</v>
      </c>
      <c r="I11" s="10">
        <v>85</v>
      </c>
      <c r="J11" s="10"/>
      <c r="K11" s="10"/>
      <c r="L11" s="10"/>
      <c r="M11" s="18">
        <v>86</v>
      </c>
      <c r="N11" s="13">
        <f t="shared" ref="N11:N31" si="0">AVERAGE(C11:D11)</f>
        <v>85</v>
      </c>
      <c r="O11" s="13">
        <f t="shared" ref="O11:O31" si="1">AVERAGE(H11:I11)</f>
        <v>85</v>
      </c>
      <c r="P11" s="12">
        <f t="shared" ref="P11:P44" si="2">(M11*30/100)+(N11*35/100)+(O11*35/100)</f>
        <v>85.3</v>
      </c>
      <c r="R11" s="2" t="s">
        <v>27</v>
      </c>
    </row>
    <row r="12" spans="1:18">
      <c r="A12" s="10">
        <v>3</v>
      </c>
      <c r="B12" s="30" t="s">
        <v>66</v>
      </c>
      <c r="C12" s="10">
        <v>88</v>
      </c>
      <c r="D12" s="10">
        <v>90</v>
      </c>
      <c r="E12" s="12"/>
      <c r="F12" s="17"/>
      <c r="G12" s="17"/>
      <c r="H12" s="10">
        <v>85</v>
      </c>
      <c r="I12" s="10">
        <v>85</v>
      </c>
      <c r="J12" s="10"/>
      <c r="K12" s="10"/>
      <c r="L12" s="10"/>
      <c r="M12" s="18">
        <v>66</v>
      </c>
      <c r="N12" s="13">
        <f t="shared" si="0"/>
        <v>89</v>
      </c>
      <c r="O12" s="13">
        <f t="shared" si="1"/>
        <v>85</v>
      </c>
      <c r="P12" s="12">
        <f t="shared" si="2"/>
        <v>80.7</v>
      </c>
      <c r="R12" s="2" t="s">
        <v>29</v>
      </c>
    </row>
    <row r="13" spans="1:18">
      <c r="A13" s="10">
        <v>4</v>
      </c>
      <c r="B13" s="30" t="s">
        <v>67</v>
      </c>
      <c r="C13" s="10">
        <v>90</v>
      </c>
      <c r="D13" s="10">
        <v>90</v>
      </c>
      <c r="E13" s="12"/>
      <c r="F13" s="17"/>
      <c r="G13" s="17"/>
      <c r="H13" s="10">
        <v>90</v>
      </c>
      <c r="I13" s="10">
        <v>90</v>
      </c>
      <c r="J13" s="10"/>
      <c r="K13" s="10"/>
      <c r="L13" s="10"/>
      <c r="M13" s="18">
        <v>78</v>
      </c>
      <c r="N13" s="13">
        <f t="shared" si="0"/>
        <v>90</v>
      </c>
      <c r="O13" s="13">
        <f t="shared" si="1"/>
        <v>90</v>
      </c>
      <c r="P13" s="12">
        <f t="shared" si="2"/>
        <v>86.4</v>
      </c>
      <c r="R13" s="2" t="s">
        <v>31</v>
      </c>
    </row>
    <row r="14" spans="1:18">
      <c r="A14" s="10">
        <v>5</v>
      </c>
      <c r="B14" s="30" t="s">
        <v>68</v>
      </c>
      <c r="C14" s="10">
        <v>95</v>
      </c>
      <c r="D14" s="10">
        <v>95</v>
      </c>
      <c r="E14" s="12"/>
      <c r="F14" s="17"/>
      <c r="G14" s="17"/>
      <c r="H14" s="10">
        <v>85</v>
      </c>
      <c r="I14" s="10">
        <v>85</v>
      </c>
      <c r="J14" s="10"/>
      <c r="K14" s="10"/>
      <c r="L14" s="10"/>
      <c r="M14" s="18">
        <v>74</v>
      </c>
      <c r="N14" s="13">
        <f t="shared" si="0"/>
        <v>95</v>
      </c>
      <c r="O14" s="13">
        <f t="shared" si="1"/>
        <v>85</v>
      </c>
      <c r="P14" s="12">
        <f t="shared" si="2"/>
        <v>85.2</v>
      </c>
      <c r="R14" s="2" t="s">
        <v>33</v>
      </c>
    </row>
    <row r="15" spans="1:18">
      <c r="A15" s="10">
        <v>6</v>
      </c>
      <c r="B15" s="30" t="s">
        <v>69</v>
      </c>
      <c r="C15" s="10">
        <v>95</v>
      </c>
      <c r="D15" s="10">
        <v>95</v>
      </c>
      <c r="E15" s="12"/>
      <c r="F15" s="17"/>
      <c r="G15" s="17"/>
      <c r="H15" s="10">
        <v>100</v>
      </c>
      <c r="I15" s="10">
        <v>100</v>
      </c>
      <c r="J15" s="10"/>
      <c r="K15" s="10"/>
      <c r="L15" s="10"/>
      <c r="M15" s="18">
        <v>84</v>
      </c>
      <c r="N15" s="13">
        <f t="shared" si="0"/>
        <v>95</v>
      </c>
      <c r="O15" s="13">
        <f t="shared" si="1"/>
        <v>100</v>
      </c>
      <c r="P15" s="12">
        <f t="shared" si="2"/>
        <v>93.45</v>
      </c>
      <c r="R15" s="19"/>
    </row>
    <row r="16" spans="1:18">
      <c r="A16" s="10">
        <v>7</v>
      </c>
      <c r="B16" s="30" t="s">
        <v>70</v>
      </c>
      <c r="C16" s="10">
        <v>95</v>
      </c>
      <c r="D16" s="10">
        <v>95</v>
      </c>
      <c r="E16" s="12"/>
      <c r="F16" s="17"/>
      <c r="G16" s="17"/>
      <c r="H16" s="10">
        <v>100</v>
      </c>
      <c r="I16" s="10">
        <v>100</v>
      </c>
      <c r="J16" s="10"/>
      <c r="K16" s="10"/>
      <c r="L16" s="10"/>
      <c r="M16" s="18">
        <v>83</v>
      </c>
      <c r="N16" s="13">
        <f t="shared" si="0"/>
        <v>95</v>
      </c>
      <c r="O16" s="13">
        <f t="shared" si="1"/>
        <v>100</v>
      </c>
      <c r="P16" s="12">
        <f t="shared" si="2"/>
        <v>93.15</v>
      </c>
      <c r="R16" s="19"/>
    </row>
    <row r="17" spans="1:18">
      <c r="A17" s="10">
        <v>8</v>
      </c>
      <c r="B17" s="30" t="s">
        <v>71</v>
      </c>
      <c r="C17" s="10">
        <v>90</v>
      </c>
      <c r="D17" s="10">
        <v>90</v>
      </c>
      <c r="E17" s="12"/>
      <c r="F17" s="17"/>
      <c r="G17" s="17"/>
      <c r="H17" s="10">
        <v>95</v>
      </c>
      <c r="I17" s="10">
        <v>95</v>
      </c>
      <c r="J17" s="10"/>
      <c r="K17" s="10"/>
      <c r="L17" s="10"/>
      <c r="M17" s="18">
        <v>90</v>
      </c>
      <c r="N17" s="13">
        <f t="shared" si="0"/>
        <v>90</v>
      </c>
      <c r="O17" s="13">
        <f t="shared" si="1"/>
        <v>95</v>
      </c>
      <c r="P17" s="12">
        <f t="shared" si="2"/>
        <v>91.75</v>
      </c>
      <c r="R17" s="19"/>
    </row>
    <row r="18" spans="1:18">
      <c r="A18" s="10">
        <v>9</v>
      </c>
      <c r="B18" s="30" t="s">
        <v>72</v>
      </c>
      <c r="C18" s="10">
        <v>85</v>
      </c>
      <c r="D18" s="10">
        <v>85</v>
      </c>
      <c r="E18" s="12"/>
      <c r="F18" s="17"/>
      <c r="G18" s="17"/>
      <c r="H18" s="10">
        <v>85</v>
      </c>
      <c r="I18" s="10">
        <v>85</v>
      </c>
      <c r="J18" s="10"/>
      <c r="K18" s="10"/>
      <c r="L18" s="10"/>
      <c r="M18" s="18">
        <v>77</v>
      </c>
      <c r="N18" s="13">
        <f t="shared" si="0"/>
        <v>85</v>
      </c>
      <c r="O18" s="13">
        <f t="shared" si="1"/>
        <v>85</v>
      </c>
      <c r="P18" s="12">
        <f t="shared" si="2"/>
        <v>82.6</v>
      </c>
      <c r="R18" s="19"/>
    </row>
    <row r="19" spans="1:18">
      <c r="A19" s="10">
        <v>10</v>
      </c>
      <c r="B19" s="30" t="s">
        <v>73</v>
      </c>
      <c r="C19" s="10">
        <v>85</v>
      </c>
      <c r="D19" s="10">
        <v>85</v>
      </c>
      <c r="E19" s="12"/>
      <c r="F19" s="17"/>
      <c r="G19" s="17"/>
      <c r="H19" s="10">
        <v>90</v>
      </c>
      <c r="I19" s="10">
        <v>90</v>
      </c>
      <c r="J19" s="10"/>
      <c r="K19" s="10"/>
      <c r="L19" s="10"/>
      <c r="M19" s="18">
        <v>78</v>
      </c>
      <c r="N19" s="13">
        <f t="shared" si="0"/>
        <v>85</v>
      </c>
      <c r="O19" s="13">
        <f t="shared" si="1"/>
        <v>90</v>
      </c>
      <c r="P19" s="12">
        <f t="shared" si="2"/>
        <v>84.65</v>
      </c>
      <c r="R19" s="19"/>
    </row>
    <row r="20" spans="1:18">
      <c r="A20" s="10">
        <v>11</v>
      </c>
      <c r="B20" s="30" t="s">
        <v>74</v>
      </c>
      <c r="C20" s="10">
        <v>90</v>
      </c>
      <c r="D20" s="10">
        <v>90</v>
      </c>
      <c r="E20" s="12"/>
      <c r="F20" s="17"/>
      <c r="G20" s="17"/>
      <c r="H20" s="10">
        <v>90</v>
      </c>
      <c r="I20" s="10">
        <v>90</v>
      </c>
      <c r="J20" s="10"/>
      <c r="K20" s="10"/>
      <c r="L20" s="10"/>
      <c r="M20" s="18">
        <v>67</v>
      </c>
      <c r="N20" s="13">
        <f t="shared" si="0"/>
        <v>90</v>
      </c>
      <c r="O20" s="13">
        <f t="shared" si="1"/>
        <v>90</v>
      </c>
      <c r="P20" s="12">
        <f t="shared" si="2"/>
        <v>83.1</v>
      </c>
      <c r="R20" s="19"/>
    </row>
    <row r="21" spans="1:18">
      <c r="A21" s="10">
        <v>12</v>
      </c>
      <c r="B21" s="30" t="s">
        <v>75</v>
      </c>
      <c r="C21" s="10">
        <v>90</v>
      </c>
      <c r="D21" s="10">
        <v>90</v>
      </c>
      <c r="E21" s="12"/>
      <c r="F21" s="17"/>
      <c r="G21" s="17"/>
      <c r="H21" s="10">
        <v>90</v>
      </c>
      <c r="I21" s="10">
        <v>90</v>
      </c>
      <c r="J21" s="10"/>
      <c r="K21" s="10"/>
      <c r="L21" s="10"/>
      <c r="M21" s="18">
        <v>78</v>
      </c>
      <c r="N21" s="13">
        <f t="shared" si="0"/>
        <v>90</v>
      </c>
      <c r="O21" s="13">
        <f t="shared" si="1"/>
        <v>90</v>
      </c>
      <c r="P21" s="12">
        <f t="shared" si="2"/>
        <v>86.4</v>
      </c>
      <c r="R21" s="19"/>
    </row>
    <row r="22" spans="1:18">
      <c r="A22" s="10">
        <v>13</v>
      </c>
      <c r="B22" s="30" t="s">
        <v>76</v>
      </c>
      <c r="C22" s="10">
        <v>85</v>
      </c>
      <c r="D22" s="10">
        <v>85</v>
      </c>
      <c r="E22" s="12"/>
      <c r="F22" s="17"/>
      <c r="G22" s="17"/>
      <c r="H22" s="10">
        <v>98</v>
      </c>
      <c r="I22" s="10">
        <v>98</v>
      </c>
      <c r="J22" s="10"/>
      <c r="K22" s="10"/>
      <c r="L22" s="10"/>
      <c r="M22" s="18">
        <v>80</v>
      </c>
      <c r="N22" s="13">
        <f t="shared" si="0"/>
        <v>85</v>
      </c>
      <c r="O22" s="13">
        <f t="shared" si="1"/>
        <v>98</v>
      </c>
      <c r="P22" s="12">
        <f t="shared" si="2"/>
        <v>88.05</v>
      </c>
      <c r="R22" s="19"/>
    </row>
    <row r="23" spans="1:18">
      <c r="A23" s="10">
        <v>14</v>
      </c>
      <c r="B23" s="30" t="s">
        <v>77</v>
      </c>
      <c r="C23" s="10">
        <v>80</v>
      </c>
      <c r="D23" s="10">
        <v>80</v>
      </c>
      <c r="E23" s="12"/>
      <c r="F23" s="17"/>
      <c r="G23" s="17"/>
      <c r="H23" s="10">
        <v>97</v>
      </c>
      <c r="I23" s="10">
        <v>97</v>
      </c>
      <c r="J23" s="10"/>
      <c r="K23" s="10"/>
      <c r="L23" s="10"/>
      <c r="M23" s="18">
        <v>81</v>
      </c>
      <c r="N23" s="13">
        <f t="shared" si="0"/>
        <v>80</v>
      </c>
      <c r="O23" s="13">
        <f t="shared" si="1"/>
        <v>97</v>
      </c>
      <c r="P23" s="12">
        <f t="shared" si="2"/>
        <v>86.25</v>
      </c>
      <c r="R23" s="19"/>
    </row>
    <row r="24" spans="1:18">
      <c r="A24" s="10">
        <v>15</v>
      </c>
      <c r="B24" s="30" t="s">
        <v>78</v>
      </c>
      <c r="C24" s="10">
        <v>90</v>
      </c>
      <c r="D24" s="10">
        <v>90</v>
      </c>
      <c r="E24" s="12"/>
      <c r="F24" s="17"/>
      <c r="G24" s="17"/>
      <c r="H24" s="10">
        <v>95</v>
      </c>
      <c r="I24" s="10">
        <v>95</v>
      </c>
      <c r="J24" s="10"/>
      <c r="K24" s="10"/>
      <c r="L24" s="10"/>
      <c r="M24" s="18">
        <v>72</v>
      </c>
      <c r="N24" s="13">
        <f t="shared" si="0"/>
        <v>90</v>
      </c>
      <c r="O24" s="13">
        <f t="shared" si="1"/>
        <v>95</v>
      </c>
      <c r="P24" s="12">
        <f t="shared" si="2"/>
        <v>86.35</v>
      </c>
      <c r="R24" s="19"/>
    </row>
    <row r="25" spans="1:18">
      <c r="A25" s="10">
        <v>16</v>
      </c>
      <c r="B25" s="30" t="s">
        <v>79</v>
      </c>
      <c r="C25" s="10">
        <v>85</v>
      </c>
      <c r="D25" s="10">
        <v>85</v>
      </c>
      <c r="E25" s="12"/>
      <c r="F25" s="17"/>
      <c r="G25" s="17"/>
      <c r="H25" s="10">
        <v>85</v>
      </c>
      <c r="I25" s="10">
        <v>85</v>
      </c>
      <c r="J25" s="10"/>
      <c r="K25" s="10"/>
      <c r="L25" s="10"/>
      <c r="M25" s="18">
        <v>76</v>
      </c>
      <c r="N25" s="13">
        <f t="shared" si="0"/>
        <v>85</v>
      </c>
      <c r="O25" s="13">
        <f t="shared" si="1"/>
        <v>85</v>
      </c>
      <c r="P25" s="12">
        <f t="shared" si="2"/>
        <v>82.3</v>
      </c>
      <c r="R25" s="19"/>
    </row>
    <row r="26" spans="1:18">
      <c r="A26" s="10">
        <v>17</v>
      </c>
      <c r="B26" s="30" t="s">
        <v>80</v>
      </c>
      <c r="C26" s="10">
        <v>95</v>
      </c>
      <c r="D26" s="10">
        <v>95</v>
      </c>
      <c r="E26" s="12"/>
      <c r="F26" s="17"/>
      <c r="G26" s="17"/>
      <c r="H26" s="10">
        <v>80</v>
      </c>
      <c r="I26" s="10">
        <v>80</v>
      </c>
      <c r="J26" s="10"/>
      <c r="K26" s="10"/>
      <c r="L26" s="10"/>
      <c r="M26" s="18">
        <v>73</v>
      </c>
      <c r="N26" s="13">
        <f t="shared" si="0"/>
        <v>95</v>
      </c>
      <c r="O26" s="13">
        <f t="shared" si="1"/>
        <v>80</v>
      </c>
      <c r="P26" s="12">
        <f t="shared" si="2"/>
        <v>83.15</v>
      </c>
      <c r="R26" s="19"/>
    </row>
    <row r="27" spans="1:18">
      <c r="A27" s="10">
        <v>18</v>
      </c>
      <c r="B27" s="30" t="s">
        <v>81</v>
      </c>
      <c r="C27" s="10">
        <v>95</v>
      </c>
      <c r="D27" s="10">
        <v>95</v>
      </c>
      <c r="E27" s="12"/>
      <c r="F27" s="17"/>
      <c r="G27" s="17"/>
      <c r="H27" s="10">
        <v>90</v>
      </c>
      <c r="I27" s="10">
        <v>80</v>
      </c>
      <c r="J27" s="10"/>
      <c r="K27" s="10"/>
      <c r="L27" s="10"/>
      <c r="M27" s="18">
        <v>60</v>
      </c>
      <c r="N27" s="13">
        <f t="shared" si="0"/>
        <v>95</v>
      </c>
      <c r="O27" s="13">
        <f t="shared" si="1"/>
        <v>85</v>
      </c>
      <c r="P27" s="12">
        <f t="shared" si="2"/>
        <v>81</v>
      </c>
      <c r="R27" s="19"/>
    </row>
    <row r="28" spans="1:18">
      <c r="A28" s="10">
        <v>19</v>
      </c>
      <c r="B28" s="30" t="s">
        <v>82</v>
      </c>
      <c r="C28" s="10">
        <v>90</v>
      </c>
      <c r="D28" s="10">
        <v>90</v>
      </c>
      <c r="E28" s="12"/>
      <c r="F28" s="17"/>
      <c r="G28" s="17"/>
      <c r="H28" s="10">
        <v>85</v>
      </c>
      <c r="I28" s="10">
        <v>85</v>
      </c>
      <c r="J28" s="10"/>
      <c r="K28" s="10"/>
      <c r="L28" s="10"/>
      <c r="M28" s="18">
        <v>65</v>
      </c>
      <c r="N28" s="13">
        <f t="shared" si="0"/>
        <v>90</v>
      </c>
      <c r="O28" s="13">
        <f t="shared" si="1"/>
        <v>85</v>
      </c>
      <c r="P28" s="12">
        <f t="shared" si="2"/>
        <v>80.75</v>
      </c>
      <c r="R28" s="19"/>
    </row>
    <row r="29" spans="1:18">
      <c r="A29" s="10">
        <v>20</v>
      </c>
      <c r="B29" s="30" t="s">
        <v>83</v>
      </c>
      <c r="C29" s="10">
        <v>90</v>
      </c>
      <c r="D29" s="10">
        <v>90</v>
      </c>
      <c r="E29" s="12"/>
      <c r="F29" s="17"/>
      <c r="G29" s="17"/>
      <c r="H29" s="10">
        <v>90</v>
      </c>
      <c r="I29" s="10">
        <v>80</v>
      </c>
      <c r="J29" s="10"/>
      <c r="K29" s="10"/>
      <c r="L29" s="10"/>
      <c r="M29" s="18">
        <v>62</v>
      </c>
      <c r="N29" s="13">
        <f t="shared" si="0"/>
        <v>90</v>
      </c>
      <c r="O29" s="13">
        <f t="shared" si="1"/>
        <v>85</v>
      </c>
      <c r="P29" s="12">
        <f t="shared" si="2"/>
        <v>79.849999999999994</v>
      </c>
      <c r="R29" s="19"/>
    </row>
    <row r="30" spans="1:18">
      <c r="A30" s="10">
        <v>21</v>
      </c>
      <c r="B30" s="30" t="s">
        <v>84</v>
      </c>
      <c r="C30" s="10">
        <v>85</v>
      </c>
      <c r="D30" s="10">
        <v>85</v>
      </c>
      <c r="E30" s="12"/>
      <c r="F30" s="17"/>
      <c r="G30" s="17"/>
      <c r="H30" s="10">
        <v>85</v>
      </c>
      <c r="I30" s="10">
        <v>80</v>
      </c>
      <c r="J30" s="10"/>
      <c r="K30" s="10"/>
      <c r="L30" s="10"/>
      <c r="M30" s="18">
        <v>71</v>
      </c>
      <c r="N30" s="13">
        <f t="shared" si="0"/>
        <v>85</v>
      </c>
      <c r="O30" s="13">
        <f t="shared" si="1"/>
        <v>82.5</v>
      </c>
      <c r="P30" s="12">
        <f t="shared" si="2"/>
        <v>79.924999999999997</v>
      </c>
      <c r="R30" s="19"/>
    </row>
    <row r="31" spans="1:18">
      <c r="A31" s="10">
        <v>22</v>
      </c>
      <c r="B31" s="30" t="s">
        <v>85</v>
      </c>
      <c r="C31" s="10">
        <v>90</v>
      </c>
      <c r="D31" s="10">
        <v>90</v>
      </c>
      <c r="E31" s="12"/>
      <c r="F31" s="17"/>
      <c r="G31" s="17"/>
      <c r="H31" s="10">
        <v>95</v>
      </c>
      <c r="I31" s="10">
        <v>95</v>
      </c>
      <c r="J31" s="10"/>
      <c r="K31" s="10"/>
      <c r="L31" s="10"/>
      <c r="M31" s="18">
        <v>80</v>
      </c>
      <c r="N31" s="13">
        <f t="shared" si="0"/>
        <v>90</v>
      </c>
      <c r="O31" s="13">
        <f t="shared" si="1"/>
        <v>95</v>
      </c>
      <c r="P31" s="12">
        <f t="shared" si="2"/>
        <v>88.75</v>
      </c>
      <c r="R31" s="19"/>
    </row>
    <row r="32" spans="1:18" ht="15.5">
      <c r="A32" s="10">
        <v>23</v>
      </c>
      <c r="B32" s="31"/>
      <c r="C32" s="12"/>
      <c r="D32" s="12"/>
      <c r="E32" s="12"/>
      <c r="F32" s="17"/>
      <c r="G32" s="17"/>
      <c r="H32" s="10"/>
      <c r="I32" s="10"/>
      <c r="J32" s="10"/>
      <c r="K32" s="10"/>
      <c r="L32" s="10"/>
      <c r="M32" s="18"/>
      <c r="N32" s="12"/>
      <c r="O32" s="12"/>
      <c r="P32" s="12">
        <f t="shared" si="2"/>
        <v>0</v>
      </c>
      <c r="R32" s="19"/>
    </row>
    <row r="33" spans="1:27" ht="15.5">
      <c r="A33" s="10">
        <v>24</v>
      </c>
      <c r="B33" s="31"/>
      <c r="C33" s="12"/>
      <c r="D33" s="12"/>
      <c r="E33" s="12"/>
      <c r="F33" s="17"/>
      <c r="G33" s="17"/>
      <c r="H33" s="10"/>
      <c r="I33" s="10"/>
      <c r="J33" s="10"/>
      <c r="K33" s="10"/>
      <c r="L33" s="10"/>
      <c r="M33" s="18"/>
      <c r="N33" s="12"/>
      <c r="O33" s="12"/>
      <c r="P33" s="12">
        <f t="shared" si="2"/>
        <v>0</v>
      </c>
      <c r="R33" s="19"/>
    </row>
    <row r="34" spans="1:27" ht="15.5">
      <c r="A34" s="10">
        <v>25</v>
      </c>
      <c r="B34" s="31"/>
      <c r="C34" s="12"/>
      <c r="D34" s="12"/>
      <c r="E34" s="12"/>
      <c r="F34" s="17"/>
      <c r="G34" s="17"/>
      <c r="H34" s="10"/>
      <c r="I34" s="10"/>
      <c r="J34" s="10"/>
      <c r="K34" s="10"/>
      <c r="L34" s="10"/>
      <c r="M34" s="18"/>
      <c r="N34" s="12"/>
      <c r="O34" s="12"/>
      <c r="P34" s="12">
        <f t="shared" si="2"/>
        <v>0</v>
      </c>
      <c r="R34" s="19"/>
    </row>
    <row r="35" spans="1:27" ht="15.5">
      <c r="A35" s="10">
        <v>26</v>
      </c>
      <c r="B35" s="31"/>
      <c r="C35" s="12"/>
      <c r="D35" s="12"/>
      <c r="E35" s="12"/>
      <c r="F35" s="17"/>
      <c r="G35" s="17"/>
      <c r="H35" s="10"/>
      <c r="I35" s="10"/>
      <c r="J35" s="10"/>
      <c r="K35" s="20"/>
      <c r="L35" s="20"/>
      <c r="M35" s="18"/>
      <c r="N35" s="12"/>
      <c r="O35" s="12"/>
      <c r="P35" s="12">
        <f t="shared" si="2"/>
        <v>0</v>
      </c>
      <c r="R35" s="19"/>
    </row>
    <row r="36" spans="1:27" ht="15.5">
      <c r="A36" s="10">
        <v>27</v>
      </c>
      <c r="B36" s="31"/>
      <c r="C36" s="12"/>
      <c r="D36" s="10"/>
      <c r="E36" s="12"/>
      <c r="F36" s="17"/>
      <c r="G36" s="17"/>
      <c r="H36" s="10"/>
      <c r="I36" s="10"/>
      <c r="J36" s="10"/>
      <c r="K36" s="10"/>
      <c r="L36" s="10"/>
      <c r="M36" s="18"/>
      <c r="N36" s="12"/>
      <c r="O36" s="12"/>
      <c r="P36" s="12">
        <f t="shared" si="2"/>
        <v>0</v>
      </c>
      <c r="R36" s="19"/>
    </row>
    <row r="37" spans="1:27" ht="15.5">
      <c r="A37" s="10">
        <v>28</v>
      </c>
      <c r="B37" s="31"/>
      <c r="C37" s="12"/>
      <c r="D37" s="12"/>
      <c r="E37" s="12"/>
      <c r="F37" s="17"/>
      <c r="G37" s="17"/>
      <c r="H37" s="10"/>
      <c r="I37" s="10"/>
      <c r="J37" s="10"/>
      <c r="K37" s="10"/>
      <c r="L37" s="10"/>
      <c r="M37" s="18"/>
      <c r="N37" s="12"/>
      <c r="O37" s="12"/>
      <c r="P37" s="12">
        <f t="shared" si="2"/>
        <v>0</v>
      </c>
      <c r="R37" s="19"/>
    </row>
    <row r="38" spans="1:27" ht="15.5">
      <c r="A38" s="10">
        <v>29</v>
      </c>
      <c r="B38" s="31"/>
      <c r="C38" s="10"/>
      <c r="D38" s="10"/>
      <c r="E38" s="10"/>
      <c r="F38" s="17"/>
      <c r="G38" s="17"/>
      <c r="H38" s="10"/>
      <c r="I38" s="10"/>
      <c r="J38" s="10"/>
      <c r="K38" s="10"/>
      <c r="L38" s="10"/>
      <c r="M38" s="18"/>
      <c r="N38" s="12"/>
      <c r="O38" s="12"/>
      <c r="P38" s="12">
        <f t="shared" si="2"/>
        <v>0</v>
      </c>
      <c r="R38" s="19"/>
    </row>
    <row r="39" spans="1:27">
      <c r="A39" s="10">
        <v>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2">
        <f t="shared" si="2"/>
        <v>0</v>
      </c>
      <c r="Q39" s="1"/>
      <c r="R39" s="1"/>
      <c r="X39" s="32"/>
      <c r="AA39" s="32"/>
    </row>
    <row r="40" spans="1:27">
      <c r="A40" s="10">
        <v>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2">
        <f t="shared" si="2"/>
        <v>0</v>
      </c>
      <c r="Q40" s="1"/>
      <c r="R40" s="1"/>
    </row>
    <row r="41" spans="1:27">
      <c r="A41" s="10">
        <v>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18"/>
      <c r="O41" s="22"/>
      <c r="P41" s="12">
        <f t="shared" si="2"/>
        <v>0</v>
      </c>
      <c r="Q41" s="1"/>
      <c r="R41" s="1"/>
    </row>
    <row r="42" spans="1:27">
      <c r="A42" s="10">
        <v>33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8"/>
      <c r="O42" s="22"/>
      <c r="P42" s="12">
        <f t="shared" si="2"/>
        <v>0</v>
      </c>
      <c r="Q42" s="1"/>
      <c r="R42" s="1"/>
    </row>
    <row r="43" spans="1:27">
      <c r="A43" s="10">
        <v>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8"/>
      <c r="O43" s="22"/>
      <c r="P43" s="12">
        <f t="shared" si="2"/>
        <v>0</v>
      </c>
      <c r="Q43" s="1"/>
      <c r="R43" s="1"/>
    </row>
    <row r="44" spans="1:27">
      <c r="A44" s="10">
        <v>35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8"/>
      <c r="O44" s="22"/>
      <c r="P44" s="12">
        <f t="shared" si="2"/>
        <v>0</v>
      </c>
      <c r="Q44" s="1"/>
      <c r="R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7" spans="1:27">
      <c r="N47" s="2" t="s">
        <v>61</v>
      </c>
    </row>
    <row r="48" spans="1:27">
      <c r="N48" s="2" t="s">
        <v>62</v>
      </c>
    </row>
    <row r="49" spans="14:14">
      <c r="N49" s="2"/>
    </row>
    <row r="50" spans="14:14">
      <c r="N50" s="2"/>
    </row>
    <row r="51" spans="14:14">
      <c r="N51" s="2" t="s">
        <v>63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4B90-599D-44C6-B735-E9AA83DF81C7}">
  <dimension ref="A1:AA51"/>
  <sheetViews>
    <sheetView zoomScale="70" zoomScaleNormal="70" workbookViewId="0">
      <selection sqref="A1:XFD1048576"/>
    </sheetView>
  </sheetViews>
  <sheetFormatPr defaultColWidth="9" defaultRowHeight="14.5"/>
  <cols>
    <col min="2" max="2" width="40.1796875" customWidth="1"/>
    <col min="10" max="10" width="9.26953125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"/>
      <c r="R1" s="1"/>
    </row>
    <row r="2" spans="1:18" ht="17.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 customHeight="1">
      <c r="A8" s="28" t="s">
        <v>6</v>
      </c>
      <c r="B8" s="29" t="s">
        <v>7</v>
      </c>
      <c r="C8" s="24" t="s">
        <v>8</v>
      </c>
      <c r="D8" s="24"/>
      <c r="E8" s="24"/>
      <c r="F8" s="24"/>
      <c r="G8" s="24"/>
      <c r="H8" s="25" t="s">
        <v>9</v>
      </c>
      <c r="I8" s="25"/>
      <c r="J8" s="25"/>
      <c r="K8" s="25"/>
      <c r="L8" s="25"/>
      <c r="M8" s="5" t="s">
        <v>10</v>
      </c>
      <c r="N8" s="26" t="s">
        <v>11</v>
      </c>
      <c r="O8" s="27"/>
      <c r="P8" s="6" t="s">
        <v>12</v>
      </c>
      <c r="R8" s="7" t="s">
        <v>13</v>
      </c>
    </row>
    <row r="9" spans="1:18" ht="14.5" customHeight="1">
      <c r="A9" s="28"/>
      <c r="B9" s="29"/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4" t="s">
        <v>14</v>
      </c>
      <c r="I9" s="4" t="s">
        <v>19</v>
      </c>
      <c r="J9" s="4" t="s">
        <v>16</v>
      </c>
      <c r="K9" s="4" t="s">
        <v>17</v>
      </c>
      <c r="L9" s="4" t="s">
        <v>18</v>
      </c>
      <c r="M9" s="5" t="s">
        <v>20</v>
      </c>
      <c r="N9" s="8" t="s">
        <v>21</v>
      </c>
      <c r="O9" s="8" t="s">
        <v>22</v>
      </c>
      <c r="P9" s="9"/>
      <c r="R9" s="2" t="s">
        <v>23</v>
      </c>
    </row>
    <row r="10" spans="1:18">
      <c r="A10" s="10">
        <v>1</v>
      </c>
      <c r="B10" s="30" t="s">
        <v>86</v>
      </c>
      <c r="C10" s="16">
        <v>85</v>
      </c>
      <c r="D10" s="16">
        <v>90</v>
      </c>
      <c r="E10" s="13"/>
      <c r="F10" s="14"/>
      <c r="G10" s="14"/>
      <c r="H10" s="16">
        <v>85</v>
      </c>
      <c r="I10" s="16">
        <v>85</v>
      </c>
      <c r="J10" s="15"/>
      <c r="K10" s="15"/>
      <c r="L10" s="15"/>
      <c r="M10" s="16">
        <v>75</v>
      </c>
      <c r="N10" s="13">
        <f>AVERAGE(C10:D10)</f>
        <v>87.5</v>
      </c>
      <c r="O10" s="13">
        <f>AVERAGE(H10:I10)</f>
        <v>85</v>
      </c>
      <c r="P10" s="12">
        <f>(M10*30/100)+(N10*35/100)+(O10*35/100)</f>
        <v>82.875</v>
      </c>
      <c r="R10" s="2" t="s">
        <v>25</v>
      </c>
    </row>
    <row r="11" spans="1:18">
      <c r="A11" s="10">
        <v>2</v>
      </c>
      <c r="B11" s="30" t="s">
        <v>87</v>
      </c>
      <c r="C11" s="16">
        <v>90</v>
      </c>
      <c r="D11" s="16">
        <v>90</v>
      </c>
      <c r="E11" s="12"/>
      <c r="F11" s="17"/>
      <c r="G11" s="17"/>
      <c r="H11" s="18">
        <v>90</v>
      </c>
      <c r="I11" s="18">
        <v>90</v>
      </c>
      <c r="J11" s="10"/>
      <c r="K11" s="10"/>
      <c r="L11" s="10"/>
      <c r="M11" s="18">
        <v>60</v>
      </c>
      <c r="N11" s="13">
        <f t="shared" ref="N11:N31" si="0">AVERAGE(C11:D11)</f>
        <v>90</v>
      </c>
      <c r="O11" s="13">
        <f t="shared" ref="O11:O31" si="1">AVERAGE(H11:I11)</f>
        <v>90</v>
      </c>
      <c r="P11" s="12">
        <f t="shared" ref="P11:P44" si="2">(M11*30/100)+(N11*35/100)+(O11*35/100)</f>
        <v>81</v>
      </c>
      <c r="R11" s="2" t="s">
        <v>27</v>
      </c>
    </row>
    <row r="12" spans="1:18">
      <c r="A12" s="10">
        <v>3</v>
      </c>
      <c r="B12" s="30" t="s">
        <v>88</v>
      </c>
      <c r="C12" s="16">
        <v>95</v>
      </c>
      <c r="D12" s="16">
        <v>95</v>
      </c>
      <c r="E12" s="12"/>
      <c r="F12" s="17"/>
      <c r="G12" s="17"/>
      <c r="H12" s="16">
        <v>90</v>
      </c>
      <c r="I12" s="16">
        <v>95</v>
      </c>
      <c r="J12" s="10"/>
      <c r="K12" s="10"/>
      <c r="L12" s="10"/>
      <c r="M12" s="18">
        <v>89</v>
      </c>
      <c r="N12" s="13">
        <f t="shared" si="0"/>
        <v>95</v>
      </c>
      <c r="O12" s="13">
        <f t="shared" si="1"/>
        <v>92.5</v>
      </c>
      <c r="P12" s="12">
        <f t="shared" si="2"/>
        <v>92.325000000000003</v>
      </c>
      <c r="R12" s="2" t="s">
        <v>29</v>
      </c>
    </row>
    <row r="13" spans="1:18">
      <c r="A13" s="10">
        <v>4</v>
      </c>
      <c r="B13" s="30" t="s">
        <v>89</v>
      </c>
      <c r="C13" s="16">
        <v>85</v>
      </c>
      <c r="D13" s="16">
        <v>90</v>
      </c>
      <c r="E13" s="12"/>
      <c r="F13" s="17"/>
      <c r="G13" s="17"/>
      <c r="H13" s="18">
        <v>85</v>
      </c>
      <c r="I13" s="18">
        <v>90</v>
      </c>
      <c r="J13" s="10"/>
      <c r="K13" s="10"/>
      <c r="L13" s="10"/>
      <c r="M13" s="18">
        <v>70</v>
      </c>
      <c r="N13" s="13">
        <f t="shared" si="0"/>
        <v>87.5</v>
      </c>
      <c r="O13" s="13">
        <f t="shared" si="1"/>
        <v>87.5</v>
      </c>
      <c r="P13" s="12">
        <f t="shared" si="2"/>
        <v>82.25</v>
      </c>
      <c r="R13" s="2" t="s">
        <v>31</v>
      </c>
    </row>
    <row r="14" spans="1:18">
      <c r="A14" s="10">
        <v>5</v>
      </c>
      <c r="B14" s="30" t="s">
        <v>90</v>
      </c>
      <c r="C14" s="16">
        <v>90</v>
      </c>
      <c r="D14" s="16">
        <v>87</v>
      </c>
      <c r="E14" s="12"/>
      <c r="F14" s="17"/>
      <c r="G14" s="17"/>
      <c r="H14" s="16">
        <v>90</v>
      </c>
      <c r="I14" s="16">
        <v>88</v>
      </c>
      <c r="J14" s="10"/>
      <c r="K14" s="10"/>
      <c r="L14" s="10"/>
      <c r="M14" s="18">
        <v>75</v>
      </c>
      <c r="N14" s="13">
        <f t="shared" si="0"/>
        <v>88.5</v>
      </c>
      <c r="O14" s="13">
        <f t="shared" si="1"/>
        <v>89</v>
      </c>
      <c r="P14" s="12">
        <f t="shared" si="2"/>
        <v>84.625</v>
      </c>
      <c r="R14" s="2" t="s">
        <v>33</v>
      </c>
    </row>
    <row r="15" spans="1:18">
      <c r="A15" s="10">
        <v>6</v>
      </c>
      <c r="B15" s="30" t="s">
        <v>91</v>
      </c>
      <c r="C15" s="16">
        <v>90</v>
      </c>
      <c r="D15" s="16">
        <v>90</v>
      </c>
      <c r="E15" s="12"/>
      <c r="F15" s="17"/>
      <c r="G15" s="17"/>
      <c r="H15" s="18">
        <v>85</v>
      </c>
      <c r="I15" s="18">
        <v>90</v>
      </c>
      <c r="J15" s="10"/>
      <c r="K15" s="10"/>
      <c r="L15" s="10"/>
      <c r="M15" s="18">
        <v>59</v>
      </c>
      <c r="N15" s="13">
        <f t="shared" si="0"/>
        <v>90</v>
      </c>
      <c r="O15" s="13">
        <f t="shared" si="1"/>
        <v>87.5</v>
      </c>
      <c r="P15" s="12">
        <f t="shared" si="2"/>
        <v>79.825000000000003</v>
      </c>
      <c r="R15" s="19"/>
    </row>
    <row r="16" spans="1:18">
      <c r="A16" s="10">
        <v>7</v>
      </c>
      <c r="B16" s="30" t="s">
        <v>92</v>
      </c>
      <c r="C16" s="16">
        <v>95</v>
      </c>
      <c r="D16" s="16">
        <v>95</v>
      </c>
      <c r="E16" s="12"/>
      <c r="F16" s="17"/>
      <c r="G16" s="17"/>
      <c r="H16" s="16">
        <v>95</v>
      </c>
      <c r="I16" s="16">
        <v>95</v>
      </c>
      <c r="J16" s="10"/>
      <c r="K16" s="10"/>
      <c r="L16" s="10"/>
      <c r="M16" s="18">
        <v>74</v>
      </c>
      <c r="N16" s="13">
        <f t="shared" si="0"/>
        <v>95</v>
      </c>
      <c r="O16" s="13">
        <f t="shared" si="1"/>
        <v>95</v>
      </c>
      <c r="P16" s="12">
        <f t="shared" si="2"/>
        <v>88.7</v>
      </c>
      <c r="R16" s="19"/>
    </row>
    <row r="17" spans="1:18">
      <c r="A17" s="10">
        <v>8</v>
      </c>
      <c r="B17" s="30" t="s">
        <v>93</v>
      </c>
      <c r="C17" s="16">
        <v>90</v>
      </c>
      <c r="D17" s="16">
        <v>90</v>
      </c>
      <c r="E17" s="12"/>
      <c r="F17" s="17"/>
      <c r="G17" s="17"/>
      <c r="H17" s="18">
        <v>85</v>
      </c>
      <c r="I17" s="18">
        <v>85</v>
      </c>
      <c r="J17" s="10"/>
      <c r="K17" s="10"/>
      <c r="L17" s="10"/>
      <c r="M17" s="18">
        <v>68</v>
      </c>
      <c r="N17" s="13">
        <f t="shared" si="0"/>
        <v>90</v>
      </c>
      <c r="O17" s="13">
        <f t="shared" si="1"/>
        <v>85</v>
      </c>
      <c r="P17" s="12">
        <f t="shared" si="2"/>
        <v>81.650000000000006</v>
      </c>
      <c r="R17" s="19"/>
    </row>
    <row r="18" spans="1:18">
      <c r="A18" s="10">
        <v>9</v>
      </c>
      <c r="B18" s="30" t="s">
        <v>94</v>
      </c>
      <c r="C18" s="16">
        <v>85</v>
      </c>
      <c r="D18" s="16">
        <v>85</v>
      </c>
      <c r="E18" s="12"/>
      <c r="F18" s="17"/>
      <c r="G18" s="17"/>
      <c r="H18" s="16">
        <v>85</v>
      </c>
      <c r="I18" s="16">
        <v>85</v>
      </c>
      <c r="J18" s="10"/>
      <c r="K18" s="10"/>
      <c r="L18" s="10"/>
      <c r="M18" s="18">
        <v>75</v>
      </c>
      <c r="N18" s="13">
        <f t="shared" si="0"/>
        <v>85</v>
      </c>
      <c r="O18" s="13">
        <f t="shared" si="1"/>
        <v>85</v>
      </c>
      <c r="P18" s="12">
        <f t="shared" si="2"/>
        <v>82</v>
      </c>
      <c r="R18" s="19"/>
    </row>
    <row r="19" spans="1:18">
      <c r="A19" s="10">
        <v>10</v>
      </c>
      <c r="B19" s="30" t="s">
        <v>95</v>
      </c>
      <c r="C19" s="16">
        <v>87</v>
      </c>
      <c r="D19" s="16">
        <v>88</v>
      </c>
      <c r="E19" s="12"/>
      <c r="F19" s="17"/>
      <c r="G19" s="17"/>
      <c r="H19" s="18">
        <v>88</v>
      </c>
      <c r="I19" s="18">
        <v>85</v>
      </c>
      <c r="J19" s="10"/>
      <c r="K19" s="10"/>
      <c r="L19" s="10"/>
      <c r="M19" s="18">
        <v>85</v>
      </c>
      <c r="N19" s="13">
        <f t="shared" si="0"/>
        <v>87.5</v>
      </c>
      <c r="O19" s="13">
        <f t="shared" si="1"/>
        <v>86.5</v>
      </c>
      <c r="P19" s="12">
        <f t="shared" si="2"/>
        <v>86.4</v>
      </c>
      <c r="R19" s="19"/>
    </row>
    <row r="20" spans="1:18">
      <c r="A20" s="10">
        <v>11</v>
      </c>
      <c r="B20" s="30" t="s">
        <v>96</v>
      </c>
      <c r="C20" s="16">
        <v>90</v>
      </c>
      <c r="D20" s="16">
        <v>90</v>
      </c>
      <c r="E20" s="12"/>
      <c r="F20" s="17"/>
      <c r="G20" s="17"/>
      <c r="H20" s="16">
        <v>85</v>
      </c>
      <c r="I20" s="16">
        <v>85</v>
      </c>
      <c r="J20" s="10"/>
      <c r="K20" s="10"/>
      <c r="L20" s="10"/>
      <c r="M20" s="18">
        <v>77</v>
      </c>
      <c r="N20" s="13">
        <f t="shared" si="0"/>
        <v>90</v>
      </c>
      <c r="O20" s="13">
        <f t="shared" si="1"/>
        <v>85</v>
      </c>
      <c r="P20" s="12">
        <f t="shared" si="2"/>
        <v>84.35</v>
      </c>
      <c r="R20" s="19"/>
    </row>
    <row r="21" spans="1:18">
      <c r="A21" s="10">
        <v>12</v>
      </c>
      <c r="B21" s="30" t="s">
        <v>97</v>
      </c>
      <c r="C21" s="16">
        <v>90</v>
      </c>
      <c r="D21" s="16">
        <v>90</v>
      </c>
      <c r="E21" s="12"/>
      <c r="F21" s="17"/>
      <c r="G21" s="17"/>
      <c r="H21" s="18">
        <v>85</v>
      </c>
      <c r="I21" s="18">
        <v>85</v>
      </c>
      <c r="J21" s="10"/>
      <c r="K21" s="10"/>
      <c r="L21" s="10"/>
      <c r="M21" s="18">
        <v>80</v>
      </c>
      <c r="N21" s="13">
        <f t="shared" si="0"/>
        <v>90</v>
      </c>
      <c r="O21" s="13">
        <f t="shared" si="1"/>
        <v>85</v>
      </c>
      <c r="P21" s="12">
        <f t="shared" si="2"/>
        <v>85.25</v>
      </c>
      <c r="R21" s="19"/>
    </row>
    <row r="22" spans="1:18">
      <c r="A22" s="10">
        <v>13</v>
      </c>
      <c r="B22" s="30" t="s">
        <v>98</v>
      </c>
      <c r="C22" s="16">
        <v>90</v>
      </c>
      <c r="D22" s="16">
        <v>90</v>
      </c>
      <c r="E22" s="12"/>
      <c r="F22" s="17"/>
      <c r="G22" s="17"/>
      <c r="H22" s="16">
        <v>85</v>
      </c>
      <c r="I22" s="16">
        <v>85</v>
      </c>
      <c r="J22" s="10"/>
      <c r="K22" s="10"/>
      <c r="L22" s="10"/>
      <c r="M22" s="18">
        <v>75</v>
      </c>
      <c r="N22" s="13">
        <f t="shared" si="0"/>
        <v>90</v>
      </c>
      <c r="O22" s="13">
        <f t="shared" si="1"/>
        <v>85</v>
      </c>
      <c r="P22" s="12">
        <f t="shared" si="2"/>
        <v>83.75</v>
      </c>
      <c r="R22" s="19"/>
    </row>
    <row r="23" spans="1:18">
      <c r="A23" s="10">
        <v>14</v>
      </c>
      <c r="B23" s="30" t="s">
        <v>99</v>
      </c>
      <c r="C23" s="16">
        <v>90</v>
      </c>
      <c r="D23" s="16">
        <v>90</v>
      </c>
      <c r="E23" s="12"/>
      <c r="F23" s="17"/>
      <c r="G23" s="17"/>
      <c r="H23" s="18">
        <v>85</v>
      </c>
      <c r="I23" s="18">
        <v>85</v>
      </c>
      <c r="J23" s="10"/>
      <c r="K23" s="10"/>
      <c r="L23" s="10"/>
      <c r="M23" s="18">
        <v>80</v>
      </c>
      <c r="N23" s="13">
        <f t="shared" si="0"/>
        <v>90</v>
      </c>
      <c r="O23" s="13">
        <f t="shared" si="1"/>
        <v>85</v>
      </c>
      <c r="P23" s="12">
        <f t="shared" si="2"/>
        <v>85.25</v>
      </c>
      <c r="R23" s="19"/>
    </row>
    <row r="24" spans="1:18">
      <c r="A24" s="10">
        <v>15</v>
      </c>
      <c r="B24" s="30" t="s">
        <v>100</v>
      </c>
      <c r="C24" s="16">
        <v>90</v>
      </c>
      <c r="D24" s="16">
        <v>90</v>
      </c>
      <c r="E24" s="12"/>
      <c r="F24" s="17"/>
      <c r="G24" s="17"/>
      <c r="H24" s="16">
        <v>85</v>
      </c>
      <c r="I24" s="16">
        <v>85</v>
      </c>
      <c r="J24" s="10"/>
      <c r="K24" s="10"/>
      <c r="L24" s="10"/>
      <c r="M24" s="18">
        <v>87</v>
      </c>
      <c r="N24" s="13">
        <f t="shared" si="0"/>
        <v>90</v>
      </c>
      <c r="O24" s="13">
        <f t="shared" si="1"/>
        <v>85</v>
      </c>
      <c r="P24" s="12">
        <f t="shared" si="2"/>
        <v>87.35</v>
      </c>
      <c r="R24" s="19"/>
    </row>
    <row r="25" spans="1:18">
      <c r="A25" s="10">
        <v>16</v>
      </c>
      <c r="B25" t="s">
        <v>101</v>
      </c>
      <c r="C25" s="16">
        <v>90</v>
      </c>
      <c r="D25" s="16">
        <v>90</v>
      </c>
      <c r="E25" s="12"/>
      <c r="F25" s="17"/>
      <c r="G25" s="17"/>
      <c r="H25" s="18">
        <v>90</v>
      </c>
      <c r="I25" s="18">
        <v>95</v>
      </c>
      <c r="J25" s="10"/>
      <c r="K25" s="10"/>
      <c r="L25" s="10"/>
      <c r="M25" s="18">
        <v>99</v>
      </c>
      <c r="N25" s="13">
        <f t="shared" si="0"/>
        <v>90</v>
      </c>
      <c r="O25" s="13">
        <f t="shared" si="1"/>
        <v>92.5</v>
      </c>
      <c r="P25" s="12">
        <f t="shared" si="2"/>
        <v>93.575000000000003</v>
      </c>
      <c r="R25" s="19"/>
    </row>
    <row r="26" spans="1:18">
      <c r="A26" s="10">
        <v>17</v>
      </c>
      <c r="B26" s="30" t="s">
        <v>102</v>
      </c>
      <c r="C26" s="16">
        <v>80</v>
      </c>
      <c r="D26" s="16">
        <v>90</v>
      </c>
      <c r="E26" s="12"/>
      <c r="F26" s="17"/>
      <c r="G26" s="17"/>
      <c r="H26" s="16">
        <v>85</v>
      </c>
      <c r="I26" s="16">
        <v>85</v>
      </c>
      <c r="J26" s="10"/>
      <c r="K26" s="10"/>
      <c r="L26" s="10"/>
      <c r="M26" s="18">
        <v>68</v>
      </c>
      <c r="N26" s="13">
        <f t="shared" si="0"/>
        <v>85</v>
      </c>
      <c r="O26" s="13">
        <f t="shared" si="1"/>
        <v>85</v>
      </c>
      <c r="P26" s="12">
        <f t="shared" si="2"/>
        <v>79.900000000000006</v>
      </c>
      <c r="R26" s="19"/>
    </row>
    <row r="27" spans="1:18">
      <c r="A27" s="10">
        <v>18</v>
      </c>
      <c r="B27" s="30" t="s">
        <v>103</v>
      </c>
      <c r="C27" s="16">
        <v>90</v>
      </c>
      <c r="D27" s="16">
        <v>90</v>
      </c>
      <c r="E27" s="12"/>
      <c r="F27" s="17"/>
      <c r="G27" s="17"/>
      <c r="H27" s="18">
        <v>85</v>
      </c>
      <c r="I27" s="18">
        <v>85</v>
      </c>
      <c r="J27" s="10"/>
      <c r="K27" s="10"/>
      <c r="L27" s="10"/>
      <c r="M27" s="18">
        <v>73</v>
      </c>
      <c r="N27" s="13">
        <f t="shared" si="0"/>
        <v>90</v>
      </c>
      <c r="O27" s="13">
        <f t="shared" si="1"/>
        <v>85</v>
      </c>
      <c r="P27" s="12">
        <f t="shared" si="2"/>
        <v>83.15</v>
      </c>
      <c r="R27" s="19"/>
    </row>
    <row r="28" spans="1:18">
      <c r="A28" s="10">
        <v>19</v>
      </c>
      <c r="B28" s="30" t="s">
        <v>104</v>
      </c>
      <c r="C28" s="16">
        <v>90</v>
      </c>
      <c r="D28" s="16">
        <v>90</v>
      </c>
      <c r="E28" s="12"/>
      <c r="F28" s="17"/>
      <c r="G28" s="17"/>
      <c r="H28" s="16">
        <v>85</v>
      </c>
      <c r="I28" s="16">
        <v>85</v>
      </c>
      <c r="J28" s="10"/>
      <c r="K28" s="10"/>
      <c r="L28" s="10"/>
      <c r="M28" s="18">
        <v>61</v>
      </c>
      <c r="N28" s="13">
        <f t="shared" si="0"/>
        <v>90</v>
      </c>
      <c r="O28" s="13">
        <f t="shared" si="1"/>
        <v>85</v>
      </c>
      <c r="P28" s="12">
        <f t="shared" si="2"/>
        <v>79.55</v>
      </c>
      <c r="R28" s="19"/>
    </row>
    <row r="29" spans="1:18">
      <c r="A29" s="10">
        <v>20</v>
      </c>
      <c r="B29" s="30" t="s">
        <v>105</v>
      </c>
      <c r="C29" s="16">
        <v>90</v>
      </c>
      <c r="D29" s="16">
        <v>90</v>
      </c>
      <c r="E29" s="12"/>
      <c r="F29" s="17"/>
      <c r="G29" s="17"/>
      <c r="H29" s="18">
        <v>90</v>
      </c>
      <c r="I29" s="18">
        <v>85</v>
      </c>
      <c r="J29" s="10"/>
      <c r="K29" s="10"/>
      <c r="L29" s="10"/>
      <c r="M29" s="18">
        <v>62</v>
      </c>
      <c r="N29" s="13">
        <f t="shared" si="0"/>
        <v>90</v>
      </c>
      <c r="O29" s="13">
        <f t="shared" si="1"/>
        <v>87.5</v>
      </c>
      <c r="P29" s="12">
        <f t="shared" si="2"/>
        <v>80.724999999999994</v>
      </c>
      <c r="R29" s="19"/>
    </row>
    <row r="30" spans="1:18">
      <c r="A30" s="10">
        <v>21</v>
      </c>
      <c r="B30" s="30" t="s">
        <v>106</v>
      </c>
      <c r="C30" s="16">
        <v>90</v>
      </c>
      <c r="D30" s="16">
        <v>90</v>
      </c>
      <c r="E30" s="12"/>
      <c r="F30" s="17"/>
      <c r="G30" s="17"/>
      <c r="H30" s="16">
        <v>85</v>
      </c>
      <c r="I30" s="16">
        <v>90</v>
      </c>
      <c r="J30" s="10"/>
      <c r="K30" s="10"/>
      <c r="L30" s="10"/>
      <c r="M30" s="18">
        <v>60</v>
      </c>
      <c r="N30" s="13">
        <f t="shared" si="0"/>
        <v>90</v>
      </c>
      <c r="O30" s="13">
        <f t="shared" si="1"/>
        <v>87.5</v>
      </c>
      <c r="P30" s="12">
        <f t="shared" si="2"/>
        <v>80.125</v>
      </c>
      <c r="R30" s="19"/>
    </row>
    <row r="31" spans="1:18">
      <c r="A31" s="10">
        <v>22</v>
      </c>
      <c r="B31" s="30" t="s">
        <v>107</v>
      </c>
      <c r="C31" s="16">
        <v>90</v>
      </c>
      <c r="D31" s="16">
        <v>90</v>
      </c>
      <c r="E31" s="12"/>
      <c r="F31" s="17"/>
      <c r="G31" s="17"/>
      <c r="H31" s="18">
        <v>85</v>
      </c>
      <c r="I31" s="18">
        <v>85</v>
      </c>
      <c r="J31" s="10"/>
      <c r="K31" s="10"/>
      <c r="L31" s="10"/>
      <c r="M31" s="18">
        <v>71</v>
      </c>
      <c r="N31" s="13">
        <f t="shared" si="0"/>
        <v>90</v>
      </c>
      <c r="O31" s="13">
        <f t="shared" si="1"/>
        <v>85</v>
      </c>
      <c r="P31" s="12">
        <f t="shared" si="2"/>
        <v>82.55</v>
      </c>
      <c r="R31" s="19"/>
    </row>
    <row r="32" spans="1:18" ht="15.5">
      <c r="A32" s="10">
        <v>23</v>
      </c>
      <c r="B32" s="31"/>
      <c r="C32" s="12"/>
      <c r="D32" s="12"/>
      <c r="E32" s="12"/>
      <c r="F32" s="17"/>
      <c r="G32" s="17"/>
      <c r="H32" s="10"/>
      <c r="I32" s="10"/>
      <c r="J32" s="10"/>
      <c r="K32" s="10"/>
      <c r="L32" s="10"/>
      <c r="M32" s="18"/>
      <c r="N32" s="12"/>
      <c r="O32" s="12"/>
      <c r="P32" s="12">
        <f t="shared" si="2"/>
        <v>0</v>
      </c>
      <c r="R32" s="19"/>
    </row>
    <row r="33" spans="1:27" ht="15.5">
      <c r="A33" s="10">
        <v>24</v>
      </c>
      <c r="B33" s="31"/>
      <c r="C33" s="12"/>
      <c r="D33" s="12"/>
      <c r="E33" s="12"/>
      <c r="F33" s="17"/>
      <c r="G33" s="17"/>
      <c r="H33" s="10"/>
      <c r="I33" s="10"/>
      <c r="J33" s="10"/>
      <c r="K33" s="10"/>
      <c r="L33" s="10"/>
      <c r="M33" s="18"/>
      <c r="N33" s="12"/>
      <c r="O33" s="12"/>
      <c r="P33" s="12">
        <f t="shared" si="2"/>
        <v>0</v>
      </c>
      <c r="R33" s="19"/>
    </row>
    <row r="34" spans="1:27" ht="15.5">
      <c r="A34" s="10">
        <v>25</v>
      </c>
      <c r="B34" s="31"/>
      <c r="C34" s="12"/>
      <c r="D34" s="12"/>
      <c r="E34" s="12"/>
      <c r="F34" s="17"/>
      <c r="G34" s="17"/>
      <c r="H34" s="10"/>
      <c r="I34" s="10"/>
      <c r="J34" s="10"/>
      <c r="K34" s="10"/>
      <c r="L34" s="10"/>
      <c r="M34" s="18"/>
      <c r="N34" s="12"/>
      <c r="O34" s="12"/>
      <c r="P34" s="12">
        <f t="shared" si="2"/>
        <v>0</v>
      </c>
      <c r="R34" s="19"/>
    </row>
    <row r="35" spans="1:27" ht="15.5">
      <c r="A35" s="10">
        <v>26</v>
      </c>
      <c r="B35" s="31"/>
      <c r="C35" s="12"/>
      <c r="D35" s="12"/>
      <c r="E35" s="12"/>
      <c r="F35" s="17"/>
      <c r="G35" s="17"/>
      <c r="H35" s="10"/>
      <c r="I35" s="10"/>
      <c r="J35" s="10"/>
      <c r="K35" s="20"/>
      <c r="L35" s="20"/>
      <c r="M35" s="18"/>
      <c r="N35" s="12"/>
      <c r="O35" s="12"/>
      <c r="P35" s="12">
        <f t="shared" si="2"/>
        <v>0</v>
      </c>
      <c r="R35" s="19"/>
    </row>
    <row r="36" spans="1:27" ht="15.5">
      <c r="A36" s="10">
        <v>27</v>
      </c>
      <c r="B36" s="31"/>
      <c r="C36" s="12"/>
      <c r="D36" s="10"/>
      <c r="E36" s="12"/>
      <c r="F36" s="17"/>
      <c r="G36" s="17"/>
      <c r="H36" s="10"/>
      <c r="I36" s="10"/>
      <c r="J36" s="10"/>
      <c r="K36" s="10"/>
      <c r="L36" s="10"/>
      <c r="M36" s="18"/>
      <c r="N36" s="12"/>
      <c r="O36" s="12"/>
      <c r="P36" s="12">
        <f t="shared" si="2"/>
        <v>0</v>
      </c>
      <c r="R36" s="19"/>
    </row>
    <row r="37" spans="1:27" ht="15.5">
      <c r="A37" s="10">
        <v>28</v>
      </c>
      <c r="B37" s="31"/>
      <c r="C37" s="12"/>
      <c r="D37" s="12"/>
      <c r="E37" s="12"/>
      <c r="F37" s="17"/>
      <c r="G37" s="17"/>
      <c r="H37" s="10"/>
      <c r="I37" s="10"/>
      <c r="J37" s="10"/>
      <c r="K37" s="10"/>
      <c r="L37" s="10"/>
      <c r="M37" s="18"/>
      <c r="N37" s="12"/>
      <c r="O37" s="12"/>
      <c r="P37" s="12">
        <f t="shared" si="2"/>
        <v>0</v>
      </c>
      <c r="R37" s="19"/>
    </row>
    <row r="38" spans="1:27" ht="15.5">
      <c r="A38" s="10">
        <v>29</v>
      </c>
      <c r="B38" s="31"/>
      <c r="C38" s="10"/>
      <c r="D38" s="10"/>
      <c r="E38" s="10"/>
      <c r="F38" s="17"/>
      <c r="G38" s="17"/>
      <c r="H38" s="10"/>
      <c r="I38" s="10"/>
      <c r="J38" s="10"/>
      <c r="K38" s="10"/>
      <c r="L38" s="10"/>
      <c r="M38" s="18"/>
      <c r="N38" s="12"/>
      <c r="O38" s="12"/>
      <c r="P38" s="12">
        <f t="shared" si="2"/>
        <v>0</v>
      </c>
      <c r="R38" s="19"/>
    </row>
    <row r="39" spans="1:27">
      <c r="A39" s="10">
        <v>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2">
        <f t="shared" si="2"/>
        <v>0</v>
      </c>
      <c r="Q39" s="1"/>
      <c r="R39" s="1"/>
      <c r="X39" s="32"/>
      <c r="AA39" s="32"/>
    </row>
    <row r="40" spans="1:27">
      <c r="A40" s="10">
        <v>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2">
        <f t="shared" si="2"/>
        <v>0</v>
      </c>
      <c r="Q40" s="1"/>
      <c r="R40" s="1"/>
    </row>
    <row r="41" spans="1:27">
      <c r="A41" s="10">
        <v>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18"/>
      <c r="O41" s="22"/>
      <c r="P41" s="12">
        <f t="shared" si="2"/>
        <v>0</v>
      </c>
      <c r="Q41" s="1"/>
      <c r="R41" s="1"/>
    </row>
    <row r="42" spans="1:27">
      <c r="A42" s="10">
        <v>33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8"/>
      <c r="O42" s="22"/>
      <c r="P42" s="12">
        <f t="shared" si="2"/>
        <v>0</v>
      </c>
      <c r="Q42" s="1"/>
      <c r="R42" s="1"/>
    </row>
    <row r="43" spans="1:27">
      <c r="A43" s="10">
        <v>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8"/>
      <c r="O43" s="22"/>
      <c r="P43" s="12">
        <f t="shared" si="2"/>
        <v>0</v>
      </c>
      <c r="Q43" s="1"/>
      <c r="R43" s="1"/>
    </row>
    <row r="44" spans="1:27">
      <c r="A44" s="10">
        <v>35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8"/>
      <c r="O44" s="22"/>
      <c r="P44" s="12">
        <f t="shared" si="2"/>
        <v>0</v>
      </c>
      <c r="Q44" s="1"/>
      <c r="R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7" spans="1:27">
      <c r="N47" s="2" t="s">
        <v>61</v>
      </c>
    </row>
    <row r="48" spans="1:27">
      <c r="N48" s="2" t="s">
        <v>62</v>
      </c>
    </row>
    <row r="49" spans="14:14">
      <c r="N49" s="2"/>
    </row>
    <row r="50" spans="14:14">
      <c r="N50" s="2"/>
    </row>
    <row r="51" spans="14:14">
      <c r="N51" s="2" t="s">
        <v>63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36E2-6037-4528-A095-AB1097D5E509}">
  <dimension ref="A1:AA51"/>
  <sheetViews>
    <sheetView tabSelected="1" zoomScale="70" zoomScaleNormal="70" workbookViewId="0">
      <selection activeCell="J16" sqref="J16"/>
    </sheetView>
  </sheetViews>
  <sheetFormatPr defaultColWidth="9" defaultRowHeight="14.5"/>
  <cols>
    <col min="2" max="2" width="40.1796875" customWidth="1"/>
    <col min="10" max="10" width="9.26953125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"/>
      <c r="R1" s="1"/>
    </row>
    <row r="2" spans="1:18" ht="17.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2</v>
      </c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2" t="s">
        <v>4</v>
      </c>
      <c r="B5" s="1"/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2" t="s">
        <v>5</v>
      </c>
      <c r="B6" s="1"/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5" customHeight="1">
      <c r="A8" s="28" t="s">
        <v>6</v>
      </c>
      <c r="B8" s="29" t="s">
        <v>7</v>
      </c>
      <c r="C8" s="24" t="s">
        <v>8</v>
      </c>
      <c r="D8" s="24"/>
      <c r="E8" s="24"/>
      <c r="F8" s="24"/>
      <c r="G8" s="24"/>
      <c r="H8" s="25" t="s">
        <v>9</v>
      </c>
      <c r="I8" s="25"/>
      <c r="J8" s="25"/>
      <c r="K8" s="25"/>
      <c r="L8" s="25"/>
      <c r="M8" s="5" t="s">
        <v>10</v>
      </c>
      <c r="N8" s="26" t="s">
        <v>11</v>
      </c>
      <c r="O8" s="27"/>
      <c r="P8" s="6" t="s">
        <v>12</v>
      </c>
      <c r="R8" s="7" t="s">
        <v>13</v>
      </c>
    </row>
    <row r="9" spans="1:18" ht="14.5" customHeight="1">
      <c r="A9" s="28"/>
      <c r="B9" s="29"/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4" t="s">
        <v>14</v>
      </c>
      <c r="I9" s="4" t="s">
        <v>19</v>
      </c>
      <c r="J9" s="4" t="s">
        <v>16</v>
      </c>
      <c r="K9" s="4" t="s">
        <v>17</v>
      </c>
      <c r="L9" s="4" t="s">
        <v>18</v>
      </c>
      <c r="M9" s="5" t="s">
        <v>20</v>
      </c>
      <c r="N9" s="8" t="s">
        <v>21</v>
      </c>
      <c r="O9" s="8" t="s">
        <v>22</v>
      </c>
      <c r="P9" s="9"/>
      <c r="R9" s="2" t="s">
        <v>23</v>
      </c>
    </row>
    <row r="10" spans="1:18">
      <c r="A10" s="10">
        <v>1</v>
      </c>
      <c r="B10" s="30" t="s">
        <v>108</v>
      </c>
      <c r="C10" s="12">
        <v>90</v>
      </c>
      <c r="D10" s="10">
        <v>90</v>
      </c>
      <c r="E10" s="13"/>
      <c r="F10" s="14"/>
      <c r="G10" s="14"/>
      <c r="H10" s="15">
        <v>85</v>
      </c>
      <c r="I10" s="15">
        <v>85</v>
      </c>
      <c r="J10" s="15"/>
      <c r="K10" s="15"/>
      <c r="L10" s="15"/>
      <c r="M10" s="16">
        <v>87</v>
      </c>
      <c r="N10" s="13">
        <f>AVERAGE(C10:D10)</f>
        <v>90</v>
      </c>
      <c r="O10" s="13">
        <f>AVERAGE(H10:I10)</f>
        <v>85</v>
      </c>
      <c r="P10" s="12">
        <f>(M10*30/100)+(N10*35/100)+(O10*35/100)</f>
        <v>87.35</v>
      </c>
      <c r="R10" s="2" t="s">
        <v>25</v>
      </c>
    </row>
    <row r="11" spans="1:18">
      <c r="A11" s="10">
        <v>2</v>
      </c>
      <c r="B11" s="30" t="s">
        <v>109</v>
      </c>
      <c r="C11" s="12">
        <v>90</v>
      </c>
      <c r="D11" s="12">
        <v>90</v>
      </c>
      <c r="E11" s="12"/>
      <c r="F11" s="17"/>
      <c r="G11" s="17"/>
      <c r="H11" s="10">
        <v>85</v>
      </c>
      <c r="I11" s="10">
        <v>85</v>
      </c>
      <c r="J11" s="10"/>
      <c r="K11" s="10"/>
      <c r="L11" s="10"/>
      <c r="M11" s="18">
        <v>71</v>
      </c>
      <c r="N11" s="13">
        <f t="shared" ref="N11:N31" si="0">AVERAGE(C11:D11)</f>
        <v>90</v>
      </c>
      <c r="O11" s="13">
        <f t="shared" ref="O11:O31" si="1">AVERAGE(H11:I11)</f>
        <v>85</v>
      </c>
      <c r="P11" s="12">
        <f t="shared" ref="P11:P44" si="2">(M11*30/100)+(N11*35/100)+(O11*35/100)</f>
        <v>82.55</v>
      </c>
      <c r="R11" s="2" t="s">
        <v>27</v>
      </c>
    </row>
    <row r="12" spans="1:18">
      <c r="A12" s="10">
        <v>3</v>
      </c>
      <c r="B12" s="30" t="s">
        <v>110</v>
      </c>
      <c r="C12" s="12">
        <v>90</v>
      </c>
      <c r="D12" s="10">
        <v>90</v>
      </c>
      <c r="E12" s="12"/>
      <c r="F12" s="17"/>
      <c r="G12" s="17"/>
      <c r="H12" s="15">
        <v>85</v>
      </c>
      <c r="I12" s="15">
        <v>90</v>
      </c>
      <c r="J12" s="10"/>
      <c r="K12" s="10"/>
      <c r="L12" s="10"/>
      <c r="M12" s="18">
        <v>76</v>
      </c>
      <c r="N12" s="13">
        <f t="shared" si="0"/>
        <v>90</v>
      </c>
      <c r="O12" s="13">
        <f t="shared" si="1"/>
        <v>87.5</v>
      </c>
      <c r="P12" s="12">
        <f t="shared" si="2"/>
        <v>84.924999999999997</v>
      </c>
      <c r="R12" s="2" t="s">
        <v>29</v>
      </c>
    </row>
    <row r="13" spans="1:18">
      <c r="A13" s="10">
        <v>4</v>
      </c>
      <c r="B13" s="30" t="s">
        <v>111</v>
      </c>
      <c r="C13" s="12">
        <v>90</v>
      </c>
      <c r="D13" s="12">
        <v>90</v>
      </c>
      <c r="E13" s="12"/>
      <c r="F13" s="17"/>
      <c r="G13" s="17"/>
      <c r="H13" s="10">
        <v>85</v>
      </c>
      <c r="I13" s="10">
        <v>85</v>
      </c>
      <c r="J13" s="10"/>
      <c r="K13" s="10"/>
      <c r="L13" s="10"/>
      <c r="M13" s="18">
        <v>69</v>
      </c>
      <c r="N13" s="13">
        <f t="shared" si="0"/>
        <v>90</v>
      </c>
      <c r="O13" s="13">
        <f t="shared" si="1"/>
        <v>85</v>
      </c>
      <c r="P13" s="12">
        <f t="shared" si="2"/>
        <v>81.95</v>
      </c>
      <c r="R13" s="2" t="s">
        <v>31</v>
      </c>
    </row>
    <row r="14" spans="1:18">
      <c r="A14" s="10">
        <v>5</v>
      </c>
      <c r="B14" s="30" t="s">
        <v>112</v>
      </c>
      <c r="C14" s="12">
        <v>85</v>
      </c>
      <c r="D14" s="10">
        <v>85</v>
      </c>
      <c r="E14" s="12"/>
      <c r="F14" s="17"/>
      <c r="G14" s="17"/>
      <c r="H14" s="15">
        <v>90</v>
      </c>
      <c r="I14" s="15">
        <v>90</v>
      </c>
      <c r="J14" s="10"/>
      <c r="K14" s="10"/>
      <c r="L14" s="10"/>
      <c r="M14" s="18">
        <v>60</v>
      </c>
      <c r="N14" s="13">
        <f t="shared" si="0"/>
        <v>85</v>
      </c>
      <c r="O14" s="13">
        <f t="shared" si="1"/>
        <v>90</v>
      </c>
      <c r="P14" s="12">
        <f t="shared" si="2"/>
        <v>79.25</v>
      </c>
      <c r="R14" s="2" t="s">
        <v>33</v>
      </c>
    </row>
    <row r="15" spans="1:18">
      <c r="A15" s="10">
        <v>6</v>
      </c>
      <c r="B15" s="30" t="s">
        <v>113</v>
      </c>
      <c r="C15" s="12">
        <v>90</v>
      </c>
      <c r="D15" s="12">
        <v>90</v>
      </c>
      <c r="E15" s="12"/>
      <c r="F15" s="17"/>
      <c r="G15" s="17"/>
      <c r="H15" s="10">
        <v>85</v>
      </c>
      <c r="I15" s="10">
        <v>85</v>
      </c>
      <c r="J15" s="10"/>
      <c r="K15" s="10"/>
      <c r="L15" s="10"/>
      <c r="M15" s="18">
        <v>83</v>
      </c>
      <c r="N15" s="13">
        <f t="shared" si="0"/>
        <v>90</v>
      </c>
      <c r="O15" s="13">
        <f t="shared" si="1"/>
        <v>85</v>
      </c>
      <c r="P15" s="12">
        <f t="shared" si="2"/>
        <v>86.15</v>
      </c>
      <c r="R15" s="19"/>
    </row>
    <row r="16" spans="1:18">
      <c r="A16" s="10">
        <v>7</v>
      </c>
      <c r="B16" s="30" t="s">
        <v>114</v>
      </c>
      <c r="C16" s="12">
        <v>90</v>
      </c>
      <c r="D16" s="10">
        <v>90</v>
      </c>
      <c r="E16" s="12"/>
      <c r="F16" s="17"/>
      <c r="G16" s="17"/>
      <c r="H16" s="15">
        <v>85</v>
      </c>
      <c r="I16" s="15">
        <v>85</v>
      </c>
      <c r="J16" s="10"/>
      <c r="K16" s="10"/>
      <c r="L16" s="10"/>
      <c r="M16" s="18">
        <v>65</v>
      </c>
      <c r="N16" s="13">
        <f t="shared" si="0"/>
        <v>90</v>
      </c>
      <c r="O16" s="13">
        <f t="shared" si="1"/>
        <v>85</v>
      </c>
      <c r="P16" s="12">
        <f t="shared" si="2"/>
        <v>80.75</v>
      </c>
      <c r="R16" s="19"/>
    </row>
    <row r="17" spans="1:18">
      <c r="A17" s="10">
        <v>8</v>
      </c>
      <c r="B17" s="30" t="s">
        <v>115</v>
      </c>
      <c r="C17" s="12">
        <v>80</v>
      </c>
      <c r="D17" s="12">
        <v>80</v>
      </c>
      <c r="E17" s="12"/>
      <c r="F17" s="17"/>
      <c r="G17" s="17"/>
      <c r="H17" s="10">
        <v>85</v>
      </c>
      <c r="I17" s="10">
        <v>85</v>
      </c>
      <c r="J17" s="10"/>
      <c r="K17" s="10"/>
      <c r="L17" s="10"/>
      <c r="M17" s="18">
        <v>77</v>
      </c>
      <c r="N17" s="13">
        <f t="shared" si="0"/>
        <v>80</v>
      </c>
      <c r="O17" s="13">
        <f t="shared" si="1"/>
        <v>85</v>
      </c>
      <c r="P17" s="12">
        <f t="shared" si="2"/>
        <v>80.849999999999994</v>
      </c>
      <c r="R17" s="19"/>
    </row>
    <row r="18" spans="1:18">
      <c r="A18" s="10">
        <v>9</v>
      </c>
      <c r="B18" s="30" t="s">
        <v>116</v>
      </c>
      <c r="C18" s="12">
        <v>90</v>
      </c>
      <c r="D18" s="10">
        <v>90</v>
      </c>
      <c r="E18" s="12"/>
      <c r="F18" s="17"/>
      <c r="G18" s="17"/>
      <c r="H18" s="15">
        <v>85</v>
      </c>
      <c r="I18" s="15">
        <v>85</v>
      </c>
      <c r="J18" s="10"/>
      <c r="K18" s="10"/>
      <c r="L18" s="10"/>
      <c r="M18" s="18">
        <v>68</v>
      </c>
      <c r="N18" s="13">
        <f t="shared" si="0"/>
        <v>90</v>
      </c>
      <c r="O18" s="13">
        <f t="shared" si="1"/>
        <v>85</v>
      </c>
      <c r="P18" s="12">
        <f t="shared" si="2"/>
        <v>81.650000000000006</v>
      </c>
      <c r="R18" s="19"/>
    </row>
    <row r="19" spans="1:18">
      <c r="A19" s="10">
        <v>10</v>
      </c>
      <c r="B19" s="30" t="s">
        <v>117</v>
      </c>
      <c r="C19" s="12">
        <v>80</v>
      </c>
      <c r="D19" s="12">
        <v>80</v>
      </c>
      <c r="E19" s="12"/>
      <c r="F19" s="17"/>
      <c r="G19" s="17"/>
      <c r="H19" s="10">
        <v>85</v>
      </c>
      <c r="I19" s="10">
        <v>85</v>
      </c>
      <c r="J19" s="10"/>
      <c r="K19" s="10"/>
      <c r="L19" s="10"/>
      <c r="M19" s="18">
        <v>85</v>
      </c>
      <c r="N19" s="13">
        <f t="shared" si="0"/>
        <v>80</v>
      </c>
      <c r="O19" s="13">
        <f t="shared" si="1"/>
        <v>85</v>
      </c>
      <c r="P19" s="12">
        <f t="shared" si="2"/>
        <v>83.25</v>
      </c>
      <c r="R19" s="19"/>
    </row>
    <row r="20" spans="1:18">
      <c r="A20" s="10">
        <v>11</v>
      </c>
      <c r="B20" s="30" t="s">
        <v>118</v>
      </c>
      <c r="C20" s="12">
        <v>90</v>
      </c>
      <c r="D20" s="10">
        <v>90</v>
      </c>
      <c r="E20" s="12"/>
      <c r="F20" s="17"/>
      <c r="G20" s="17"/>
      <c r="H20" s="15">
        <v>90</v>
      </c>
      <c r="I20" s="15">
        <v>90</v>
      </c>
      <c r="J20" s="10"/>
      <c r="K20" s="10"/>
      <c r="L20" s="10"/>
      <c r="M20" s="18">
        <v>60</v>
      </c>
      <c r="N20" s="13">
        <f t="shared" si="0"/>
        <v>90</v>
      </c>
      <c r="O20" s="13">
        <f t="shared" si="1"/>
        <v>90</v>
      </c>
      <c r="P20" s="12">
        <f t="shared" si="2"/>
        <v>81</v>
      </c>
      <c r="R20" s="19"/>
    </row>
    <row r="21" spans="1:18">
      <c r="A21" s="10">
        <v>12</v>
      </c>
      <c r="B21" s="30" t="s">
        <v>119</v>
      </c>
      <c r="C21" s="12">
        <v>90</v>
      </c>
      <c r="D21" s="12">
        <v>90</v>
      </c>
      <c r="E21" s="12"/>
      <c r="F21" s="17"/>
      <c r="G21" s="17"/>
      <c r="H21" s="10">
        <v>85</v>
      </c>
      <c r="I21" s="10">
        <v>85</v>
      </c>
      <c r="J21" s="10"/>
      <c r="K21" s="10"/>
      <c r="L21" s="10"/>
      <c r="M21" s="18">
        <v>60</v>
      </c>
      <c r="N21" s="13">
        <f t="shared" si="0"/>
        <v>90</v>
      </c>
      <c r="O21" s="13">
        <f t="shared" si="1"/>
        <v>85</v>
      </c>
      <c r="P21" s="12">
        <f t="shared" si="2"/>
        <v>79.25</v>
      </c>
      <c r="R21" s="19"/>
    </row>
    <row r="22" spans="1:18">
      <c r="A22" s="10">
        <v>13</v>
      </c>
      <c r="B22" s="30" t="s">
        <v>120</v>
      </c>
      <c r="C22" s="12">
        <v>90</v>
      </c>
      <c r="D22" s="10">
        <v>90</v>
      </c>
      <c r="E22" s="12"/>
      <c r="F22" s="17"/>
      <c r="G22" s="17"/>
      <c r="H22" s="15">
        <v>85</v>
      </c>
      <c r="I22" s="15">
        <v>85</v>
      </c>
      <c r="J22" s="10"/>
      <c r="K22" s="10"/>
      <c r="L22" s="10"/>
      <c r="M22" s="18">
        <v>81</v>
      </c>
      <c r="N22" s="13">
        <f t="shared" si="0"/>
        <v>90</v>
      </c>
      <c r="O22" s="13">
        <f t="shared" si="1"/>
        <v>85</v>
      </c>
      <c r="P22" s="12">
        <f t="shared" si="2"/>
        <v>85.55</v>
      </c>
      <c r="R22" s="19"/>
    </row>
    <row r="23" spans="1:18">
      <c r="A23" s="10">
        <v>14</v>
      </c>
      <c r="B23" s="30" t="s">
        <v>121</v>
      </c>
      <c r="C23" s="12">
        <v>90</v>
      </c>
      <c r="D23" s="12">
        <v>90</v>
      </c>
      <c r="E23" s="12"/>
      <c r="F23" s="17"/>
      <c r="G23" s="17"/>
      <c r="H23" s="10">
        <v>85</v>
      </c>
      <c r="I23" s="10">
        <v>85</v>
      </c>
      <c r="J23" s="10"/>
      <c r="K23" s="10"/>
      <c r="L23" s="10"/>
      <c r="M23" s="18">
        <v>58</v>
      </c>
      <c r="N23" s="13">
        <f t="shared" si="0"/>
        <v>90</v>
      </c>
      <c r="O23" s="13">
        <f t="shared" si="1"/>
        <v>85</v>
      </c>
      <c r="P23" s="12">
        <f t="shared" si="2"/>
        <v>78.650000000000006</v>
      </c>
      <c r="R23" s="19"/>
    </row>
    <row r="24" spans="1:18">
      <c r="A24" s="10">
        <v>15</v>
      </c>
      <c r="B24" s="30" t="s">
        <v>122</v>
      </c>
      <c r="C24" s="12">
        <v>85</v>
      </c>
      <c r="D24" s="10">
        <v>85</v>
      </c>
      <c r="E24" s="12"/>
      <c r="F24" s="17"/>
      <c r="G24" s="17"/>
      <c r="H24" s="15">
        <v>85</v>
      </c>
      <c r="I24" s="15">
        <v>85</v>
      </c>
      <c r="J24" s="10"/>
      <c r="K24" s="10"/>
      <c r="L24" s="10"/>
      <c r="M24" s="18">
        <v>78</v>
      </c>
      <c r="N24" s="13">
        <f t="shared" si="0"/>
        <v>85</v>
      </c>
      <c r="O24" s="13">
        <f t="shared" si="1"/>
        <v>85</v>
      </c>
      <c r="P24" s="12">
        <f t="shared" si="2"/>
        <v>82.9</v>
      </c>
      <c r="R24" s="19"/>
    </row>
    <row r="25" spans="1:18">
      <c r="A25" s="10">
        <v>16</v>
      </c>
      <c r="B25" s="30" t="s">
        <v>123</v>
      </c>
      <c r="C25" s="12">
        <v>85</v>
      </c>
      <c r="D25" s="12">
        <v>90</v>
      </c>
      <c r="E25" s="12"/>
      <c r="F25" s="17"/>
      <c r="G25" s="17"/>
      <c r="H25" s="10">
        <v>85</v>
      </c>
      <c r="I25" s="10">
        <v>85</v>
      </c>
      <c r="J25" s="10"/>
      <c r="K25" s="10"/>
      <c r="L25" s="10"/>
      <c r="M25" s="18">
        <v>63</v>
      </c>
      <c r="N25" s="13">
        <f t="shared" si="0"/>
        <v>87.5</v>
      </c>
      <c r="O25" s="13">
        <f t="shared" si="1"/>
        <v>85</v>
      </c>
      <c r="P25" s="12">
        <f t="shared" si="2"/>
        <v>79.275000000000006</v>
      </c>
      <c r="R25" s="19"/>
    </row>
    <row r="26" spans="1:18">
      <c r="A26" s="10">
        <v>17</v>
      </c>
      <c r="B26" s="30" t="s">
        <v>124</v>
      </c>
      <c r="C26" s="12">
        <v>90</v>
      </c>
      <c r="D26" s="10">
        <v>90</v>
      </c>
      <c r="E26" s="12"/>
      <c r="F26" s="17"/>
      <c r="G26" s="17"/>
      <c r="H26" s="15">
        <v>85</v>
      </c>
      <c r="I26" s="15">
        <v>85</v>
      </c>
      <c r="J26" s="10"/>
      <c r="K26" s="10"/>
      <c r="L26" s="10"/>
      <c r="M26" s="18">
        <v>81</v>
      </c>
      <c r="N26" s="13">
        <f t="shared" si="0"/>
        <v>90</v>
      </c>
      <c r="O26" s="13">
        <f t="shared" si="1"/>
        <v>85</v>
      </c>
      <c r="P26" s="12">
        <f t="shared" si="2"/>
        <v>85.55</v>
      </c>
      <c r="R26" s="19"/>
    </row>
    <row r="27" spans="1:18">
      <c r="A27" s="10">
        <v>18</v>
      </c>
      <c r="B27" s="30" t="s">
        <v>125</v>
      </c>
      <c r="C27" s="12">
        <v>80</v>
      </c>
      <c r="D27" s="12">
        <v>80</v>
      </c>
      <c r="E27" s="12"/>
      <c r="F27" s="17"/>
      <c r="G27" s="17"/>
      <c r="H27" s="10">
        <v>85</v>
      </c>
      <c r="I27" s="10">
        <v>85</v>
      </c>
      <c r="J27" s="10"/>
      <c r="K27" s="10"/>
      <c r="L27" s="10"/>
      <c r="M27" s="18">
        <v>67</v>
      </c>
      <c r="N27" s="13">
        <f t="shared" si="0"/>
        <v>80</v>
      </c>
      <c r="O27" s="13">
        <f t="shared" si="1"/>
        <v>85</v>
      </c>
      <c r="P27" s="12">
        <f t="shared" si="2"/>
        <v>77.849999999999994</v>
      </c>
      <c r="R27" s="19"/>
    </row>
    <row r="28" spans="1:18">
      <c r="A28" s="10">
        <v>19</v>
      </c>
      <c r="B28" s="30" t="s">
        <v>126</v>
      </c>
      <c r="C28" s="12">
        <v>90</v>
      </c>
      <c r="D28" s="10">
        <v>90</v>
      </c>
      <c r="E28" s="12"/>
      <c r="F28" s="17"/>
      <c r="G28" s="17"/>
      <c r="H28" s="15">
        <v>85</v>
      </c>
      <c r="I28" s="15">
        <v>85</v>
      </c>
      <c r="J28" s="10"/>
      <c r="K28" s="10"/>
      <c r="L28" s="10"/>
      <c r="M28" s="18">
        <v>88</v>
      </c>
      <c r="N28" s="13">
        <f t="shared" si="0"/>
        <v>90</v>
      </c>
      <c r="O28" s="13">
        <f t="shared" si="1"/>
        <v>85</v>
      </c>
      <c r="P28" s="12">
        <f t="shared" si="2"/>
        <v>87.65</v>
      </c>
      <c r="R28" s="19"/>
    </row>
    <row r="29" spans="1:18">
      <c r="A29" s="10">
        <v>20</v>
      </c>
      <c r="B29" s="30" t="s">
        <v>127</v>
      </c>
      <c r="C29" s="12">
        <v>90</v>
      </c>
      <c r="D29" s="12">
        <v>90</v>
      </c>
      <c r="E29" s="12"/>
      <c r="F29" s="17"/>
      <c r="G29" s="17"/>
      <c r="H29" s="10">
        <v>85</v>
      </c>
      <c r="I29" s="10">
        <v>85</v>
      </c>
      <c r="J29" s="10"/>
      <c r="K29" s="10"/>
      <c r="L29" s="10"/>
      <c r="M29" s="18">
        <v>75</v>
      </c>
      <c r="N29" s="13">
        <f t="shared" si="0"/>
        <v>90</v>
      </c>
      <c r="O29" s="13">
        <f t="shared" si="1"/>
        <v>85</v>
      </c>
      <c r="P29" s="12">
        <f t="shared" si="2"/>
        <v>83.75</v>
      </c>
      <c r="R29" s="19"/>
    </row>
    <row r="30" spans="1:18">
      <c r="A30" s="10">
        <v>21</v>
      </c>
      <c r="B30" s="30" t="s">
        <v>128</v>
      </c>
      <c r="C30" s="12">
        <v>90</v>
      </c>
      <c r="D30" s="10">
        <v>90</v>
      </c>
      <c r="E30" s="12"/>
      <c r="F30" s="17"/>
      <c r="G30" s="17"/>
      <c r="H30" s="15">
        <v>85</v>
      </c>
      <c r="I30" s="15">
        <v>85</v>
      </c>
      <c r="J30" s="10"/>
      <c r="K30" s="10"/>
      <c r="L30" s="10"/>
      <c r="M30" s="18">
        <v>90</v>
      </c>
      <c r="N30" s="13">
        <f t="shared" si="0"/>
        <v>90</v>
      </c>
      <c r="O30" s="13">
        <f t="shared" si="1"/>
        <v>85</v>
      </c>
      <c r="P30" s="12">
        <f t="shared" si="2"/>
        <v>88.25</v>
      </c>
      <c r="R30" s="19"/>
    </row>
    <row r="31" spans="1:18">
      <c r="A31" s="10">
        <v>22</v>
      </c>
      <c r="B31" s="30" t="s">
        <v>129</v>
      </c>
      <c r="C31" s="12">
        <v>90</v>
      </c>
      <c r="D31" s="12">
        <v>90</v>
      </c>
      <c r="E31" s="12"/>
      <c r="F31" s="17"/>
      <c r="G31" s="17"/>
      <c r="H31" s="10">
        <v>85</v>
      </c>
      <c r="I31" s="10">
        <v>85</v>
      </c>
      <c r="J31" s="10"/>
      <c r="K31" s="10"/>
      <c r="L31" s="10"/>
      <c r="M31" s="18">
        <v>87</v>
      </c>
      <c r="N31" s="13">
        <f t="shared" si="0"/>
        <v>90</v>
      </c>
      <c r="O31" s="13">
        <f t="shared" si="1"/>
        <v>85</v>
      </c>
      <c r="P31" s="12">
        <f t="shared" si="2"/>
        <v>87.35</v>
      </c>
      <c r="R31" s="19"/>
    </row>
    <row r="32" spans="1:18" ht="15.5">
      <c r="A32" s="10">
        <v>23</v>
      </c>
      <c r="B32" s="31"/>
      <c r="C32" s="12"/>
      <c r="D32" s="12"/>
      <c r="E32" s="12"/>
      <c r="F32" s="17"/>
      <c r="G32" s="17"/>
      <c r="H32" s="10"/>
      <c r="I32" s="10"/>
      <c r="J32" s="10"/>
      <c r="K32" s="10"/>
      <c r="L32" s="10"/>
      <c r="M32" s="18"/>
      <c r="N32" s="12"/>
      <c r="O32" s="12"/>
      <c r="P32" s="12">
        <f t="shared" si="2"/>
        <v>0</v>
      </c>
      <c r="R32" s="19"/>
    </row>
    <row r="33" spans="1:27" ht="15.5">
      <c r="A33" s="10">
        <v>24</v>
      </c>
      <c r="B33" s="31"/>
      <c r="C33" s="12"/>
      <c r="D33" s="12"/>
      <c r="E33" s="12"/>
      <c r="F33" s="17"/>
      <c r="G33" s="17"/>
      <c r="H33" s="10"/>
      <c r="I33" s="10"/>
      <c r="J33" s="10"/>
      <c r="K33" s="10"/>
      <c r="L33" s="10"/>
      <c r="M33" s="18"/>
      <c r="N33" s="12"/>
      <c r="O33" s="12"/>
      <c r="P33" s="12">
        <f t="shared" si="2"/>
        <v>0</v>
      </c>
      <c r="R33" s="19"/>
    </row>
    <row r="34" spans="1:27" ht="15.5">
      <c r="A34" s="10">
        <v>25</v>
      </c>
      <c r="B34" s="31"/>
      <c r="C34" s="12"/>
      <c r="D34" s="12"/>
      <c r="E34" s="12"/>
      <c r="F34" s="17"/>
      <c r="G34" s="17"/>
      <c r="H34" s="10"/>
      <c r="I34" s="10"/>
      <c r="J34" s="10"/>
      <c r="K34" s="10"/>
      <c r="L34" s="10"/>
      <c r="M34" s="18"/>
      <c r="N34" s="12"/>
      <c r="O34" s="12"/>
      <c r="P34" s="12">
        <f t="shared" si="2"/>
        <v>0</v>
      </c>
      <c r="R34" s="19"/>
    </row>
    <row r="35" spans="1:27" ht="15.5">
      <c r="A35" s="10">
        <v>26</v>
      </c>
      <c r="B35" s="31"/>
      <c r="C35" s="12"/>
      <c r="D35" s="12"/>
      <c r="E35" s="12"/>
      <c r="F35" s="17"/>
      <c r="G35" s="17"/>
      <c r="H35" s="10"/>
      <c r="I35" s="10"/>
      <c r="J35" s="10"/>
      <c r="K35" s="20"/>
      <c r="L35" s="20"/>
      <c r="M35" s="18"/>
      <c r="N35" s="12"/>
      <c r="O35" s="12"/>
      <c r="P35" s="12">
        <f t="shared" si="2"/>
        <v>0</v>
      </c>
      <c r="R35" s="19"/>
    </row>
    <row r="36" spans="1:27" ht="15.5">
      <c r="A36" s="10">
        <v>27</v>
      </c>
      <c r="B36" s="31"/>
      <c r="C36" s="12"/>
      <c r="D36" s="10"/>
      <c r="E36" s="12"/>
      <c r="F36" s="17"/>
      <c r="G36" s="17"/>
      <c r="H36" s="10"/>
      <c r="I36" s="10"/>
      <c r="J36" s="10"/>
      <c r="K36" s="10"/>
      <c r="L36" s="10"/>
      <c r="M36" s="18"/>
      <c r="N36" s="12"/>
      <c r="O36" s="12"/>
      <c r="P36" s="12">
        <f t="shared" si="2"/>
        <v>0</v>
      </c>
      <c r="R36" s="19"/>
    </row>
    <row r="37" spans="1:27" ht="15.5">
      <c r="A37" s="10">
        <v>28</v>
      </c>
      <c r="B37" s="31"/>
      <c r="C37" s="12"/>
      <c r="D37" s="12"/>
      <c r="E37" s="12"/>
      <c r="F37" s="17"/>
      <c r="G37" s="17"/>
      <c r="H37" s="10"/>
      <c r="I37" s="10"/>
      <c r="J37" s="10"/>
      <c r="K37" s="10"/>
      <c r="L37" s="10"/>
      <c r="M37" s="18"/>
      <c r="N37" s="12"/>
      <c r="O37" s="12"/>
      <c r="P37" s="12">
        <f t="shared" si="2"/>
        <v>0</v>
      </c>
      <c r="R37" s="19"/>
    </row>
    <row r="38" spans="1:27" ht="15.5">
      <c r="A38" s="10">
        <v>29</v>
      </c>
      <c r="B38" s="31"/>
      <c r="C38" s="10"/>
      <c r="D38" s="10"/>
      <c r="E38" s="10"/>
      <c r="F38" s="17"/>
      <c r="G38" s="17"/>
      <c r="H38" s="10"/>
      <c r="I38" s="10"/>
      <c r="J38" s="10"/>
      <c r="K38" s="10"/>
      <c r="L38" s="10"/>
      <c r="M38" s="18"/>
      <c r="N38" s="12"/>
      <c r="O38" s="12"/>
      <c r="P38" s="12">
        <f t="shared" si="2"/>
        <v>0</v>
      </c>
      <c r="R38" s="19"/>
    </row>
    <row r="39" spans="1:27">
      <c r="A39" s="10">
        <v>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2">
        <f t="shared" si="2"/>
        <v>0</v>
      </c>
      <c r="Q39" s="1"/>
      <c r="R39" s="1"/>
      <c r="X39" s="32"/>
      <c r="AA39" s="32"/>
    </row>
    <row r="40" spans="1:27">
      <c r="A40" s="10">
        <v>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2">
        <f t="shared" si="2"/>
        <v>0</v>
      </c>
      <c r="Q40" s="1"/>
      <c r="R40" s="1"/>
    </row>
    <row r="41" spans="1:27">
      <c r="A41" s="10">
        <v>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18"/>
      <c r="O41" s="22"/>
      <c r="P41" s="12">
        <f t="shared" si="2"/>
        <v>0</v>
      </c>
      <c r="Q41" s="1"/>
      <c r="R41" s="1"/>
    </row>
    <row r="42" spans="1:27">
      <c r="A42" s="10">
        <v>33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8"/>
      <c r="O42" s="22"/>
      <c r="P42" s="12">
        <f t="shared" si="2"/>
        <v>0</v>
      </c>
      <c r="Q42" s="1"/>
      <c r="R42" s="1"/>
    </row>
    <row r="43" spans="1:27">
      <c r="A43" s="10">
        <v>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8"/>
      <c r="O43" s="22"/>
      <c r="P43" s="12">
        <f t="shared" si="2"/>
        <v>0</v>
      </c>
      <c r="Q43" s="1"/>
      <c r="R43" s="1"/>
    </row>
    <row r="44" spans="1:27">
      <c r="A44" s="10">
        <v>35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8"/>
      <c r="O44" s="22"/>
      <c r="P44" s="12">
        <f t="shared" si="2"/>
        <v>0</v>
      </c>
      <c r="Q44" s="1"/>
      <c r="R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</row>
    <row r="47" spans="1:27">
      <c r="N47" s="2" t="s">
        <v>61</v>
      </c>
    </row>
    <row r="48" spans="1:27">
      <c r="N48" s="2" t="s">
        <v>62</v>
      </c>
    </row>
    <row r="49" spans="14:14">
      <c r="N49" s="2"/>
    </row>
    <row r="50" spans="14:14">
      <c r="N50" s="2"/>
    </row>
    <row r="51" spans="14:14">
      <c r="N51" s="2" t="s">
        <v>63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Granit</vt:lpstr>
      <vt:lpstr>Intan</vt:lpstr>
      <vt:lpstr>Kyanite</vt:lpstr>
      <vt:lpstr>Safir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2022-12-13T01:59:00Z</dcterms:created>
  <dcterms:modified xsi:type="dcterms:W3CDTF">2026-10-27T09:37:14Z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2DDBB86415184A38BE06A619DA5060AC_13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