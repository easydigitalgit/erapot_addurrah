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BA2113EC-74C0-446B-ABD9-8ACD1A9C010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calcPr calcId="181029"/>
</workbook>
</file>

<file path=xl/calcChain.xml><?xml version="1.0" encoding="utf-8"?>
<calcChain xmlns="http://schemas.openxmlformats.org/spreadsheetml/2006/main">
  <c r="H11" i="1" l="1"/>
  <c r="H24" i="1"/>
  <c r="H14" i="1"/>
  <c r="H25" i="1"/>
  <c r="H19" i="1"/>
  <c r="H21" i="1"/>
  <c r="H20" i="1"/>
  <c r="H22" i="1"/>
  <c r="H16" i="1"/>
  <c r="H26" i="1"/>
  <c r="H12" i="1"/>
  <c r="H23" i="1"/>
  <c r="H13" i="1"/>
  <c r="H27" i="1"/>
  <c r="H18" i="1"/>
  <c r="H17" i="1"/>
  <c r="H31" i="1"/>
  <c r="H28" i="1"/>
  <c r="H30" i="1"/>
  <c r="H10" i="1"/>
  <c r="H15" i="1"/>
  <c r="H29" i="1"/>
</calcChain>
</file>

<file path=xl/sharedStrings.xml><?xml version="1.0" encoding="utf-8"?>
<sst xmlns="http://schemas.openxmlformats.org/spreadsheetml/2006/main" count="68" uniqueCount="68">
  <si>
    <t>DAFTAR KOLEKTIF NILAI KURIKULUM MERDEKA</t>
  </si>
  <si>
    <t>SMP SWASTA IT AD DURRAH</t>
  </si>
  <si>
    <t>KELAS</t>
  </si>
  <si>
    <t>: Safir</t>
  </si>
  <si>
    <t>MATA PELAJARAN</t>
  </si>
  <si>
    <t>: Ilmu Pengetahuan Alam</t>
  </si>
  <si>
    <t>JENIS FORMAT</t>
  </si>
  <si>
    <t>: TENGAH SEMESTER</t>
  </si>
  <si>
    <t>NO</t>
  </si>
  <si>
    <t>NIS</t>
  </si>
  <si>
    <t>NAMA LENGKAP</t>
  </si>
  <si>
    <t>NH 1</t>
  </si>
  <si>
    <t>NH_1</t>
  </si>
  <si>
    <t>NH 2</t>
  </si>
  <si>
    <t>NH_2</t>
  </si>
  <si>
    <t>FORMATIF (Nilai Harian)</t>
  </si>
  <si>
    <t>UH 1</t>
  </si>
  <si>
    <t>UH_1</t>
  </si>
  <si>
    <t>UH 2</t>
  </si>
  <si>
    <t>UH_2</t>
  </si>
  <si>
    <t>FORMATIF (Ulangan Harian)</t>
  </si>
  <si>
    <t>PTS/STS</t>
  </si>
  <si>
    <t>pts</t>
  </si>
  <si>
    <t>SUMATIF</t>
  </si>
  <si>
    <t>09.25.0009</t>
  </si>
  <si>
    <t>AISYAH RABIUL AWALIYAH PURBA</t>
  </si>
  <si>
    <t>09.25.0012</t>
  </si>
  <si>
    <t>Alifa Nur Zahirah</t>
  </si>
  <si>
    <t>09.25.0015</t>
  </si>
  <si>
    <t>ALYA JAZILA ARANI</t>
  </si>
  <si>
    <t>09.25.0016</t>
  </si>
  <si>
    <t>AMELIA FENETA ZULHAM</t>
  </si>
  <si>
    <t>09.25.0018</t>
  </si>
  <si>
    <t>AQILA AZ ZAHWA</t>
  </si>
  <si>
    <t>09.25.0019</t>
  </si>
  <si>
    <t>Aqilah Khanza Ramadhani</t>
  </si>
  <si>
    <t>09.25.0026</t>
  </si>
  <si>
    <t>Asyavira Kartika</t>
  </si>
  <si>
    <t>09.25.0029</t>
  </si>
  <si>
    <t>ATIQA MAGHFIRAH</t>
  </si>
  <si>
    <t>09.25.0033</t>
  </si>
  <si>
    <t>Azqa Aqilla Mumtaz</t>
  </si>
  <si>
    <t>09.25.0041</t>
  </si>
  <si>
    <t>EARLYTA ARSYFA</t>
  </si>
  <si>
    <t>09.25.0047</t>
  </si>
  <si>
    <t>FARADILLA RAMADANI</t>
  </si>
  <si>
    <t>09.25.0055</t>
  </si>
  <si>
    <t>Inaya Athifa</t>
  </si>
  <si>
    <t>09.25.0059</t>
  </si>
  <si>
    <t>Jahira Humairoh Manurung</t>
  </si>
  <si>
    <t>09.25.0065</t>
  </si>
  <si>
    <t>KHANSA FAIRUZ ZHAFIRAH S</t>
  </si>
  <si>
    <t>09.25.0068</t>
  </si>
  <si>
    <t>KHEYLA RASHIFA</t>
  </si>
  <si>
    <t>09.25.0087</t>
  </si>
  <si>
    <t>MYSHA ZAHIRA SACHI</t>
  </si>
  <si>
    <t>09.25.0093</t>
  </si>
  <si>
    <t>NUR ALFIYAH HAWA</t>
  </si>
  <si>
    <t>09.25.0101</t>
  </si>
  <si>
    <t>RHALYNSA RIZKI</t>
  </si>
  <si>
    <t>09.25.0108</t>
  </si>
  <si>
    <t>Salsabil Azzahra Lubis</t>
  </si>
  <si>
    <t>09.25.0110</t>
  </si>
  <si>
    <t>Salsabila Bilqis Pasaribu</t>
  </si>
  <si>
    <t>09.25.0111</t>
  </si>
  <si>
    <t>SALWA TSABITA</t>
  </si>
  <si>
    <t>09.25.0122</t>
  </si>
  <si>
    <t>SYIFA NAURA AFAF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</si>
</sst>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3" borderId="0" xfId="0" applyFill="1" applyProtection="1">
      <protection locked="0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C11" workbookViewId="0">
      <selection activeCell="G10" sqref="G10:G31"/>
    </sheetView>
  </sheetViews>
  <sheetFormatPr defaultRowHeight="14.5" x14ac:dyDescent="0.35"/>
  <cols>
    <col min="1" max="1" width="47.08984375" bestFit="1" customWidth="1"/>
    <col min="2" max="2" width="12.81640625" bestFit="1" customWidth="1"/>
    <col min="3" max="3" width="34.08984375" bestFit="1" customWidth="1"/>
    <col min="4" max="7" width="8.1796875" bestFit="1" customWidth="1"/>
    <col min="8" max="8" width="11.54296875" bestFit="1" customWidth="1"/>
  </cols>
  <sheetData>
    <row r="1" spans="1:8" x14ac:dyDescent="0.35">
      <c r="A1" t="s">
        <v>0</v>
      </c>
    </row>
    <row r="2" spans="1:8" x14ac:dyDescent="0.35">
      <c r="A2" t="s">
        <v>1</v>
      </c>
    </row>
    <row r="4" spans="1:8" x14ac:dyDescent="0.35">
      <c r="A4" t="s">
        <v>2</v>
      </c>
      <c r="C4" t="s">
        <v>3</v>
      </c>
    </row>
    <row r="5" spans="1:8" x14ac:dyDescent="0.35">
      <c r="A5" t="s">
        <v>4</v>
      </c>
      <c r="C5" t="s">
        <v>5</v>
      </c>
    </row>
    <row r="6" spans="1:8" x14ac:dyDescent="0.35">
      <c r="A6" t="s">
        <v>6</v>
      </c>
      <c r="C6" t="s">
        <v>7</v>
      </c>
    </row>
    <row r="7" spans="1:8" hidden="1" x14ac:dyDescent="0.35">
      <c r="D7" t="s">
        <v>12</v>
      </c>
      <c r="E7" t="s">
        <v>14</v>
      </c>
      <c r="F7" t="s">
        <v>17</v>
      </c>
      <c r="G7" t="s">
        <v>19</v>
      </c>
      <c r="H7" t="s">
        <v>22</v>
      </c>
    </row>
    <row r="8" spans="1:8" x14ac:dyDescent="0.35">
      <c r="A8" s="2" t="s">
        <v>8</v>
      </c>
      <c r="B8" s="2" t="s">
        <v>9</v>
      </c>
      <c r="C8" s="2" t="s">
        <v>10</v>
      </c>
      <c r="D8" s="2" t="s">
        <v>15</v>
      </c>
      <c r="E8" s="2"/>
      <c r="F8" s="2" t="s">
        <v>20</v>
      </c>
      <c r="G8" s="2"/>
      <c r="H8" s="2" t="s">
        <v>23</v>
      </c>
    </row>
    <row r="9" spans="1:8" x14ac:dyDescent="0.35">
      <c r="A9" s="2"/>
      <c r="B9" s="2"/>
      <c r="C9" s="2"/>
      <c r="D9" s="1" t="s">
        <v>11</v>
      </c>
      <c r="E9" s="1" t="s">
        <v>13</v>
      </c>
      <c r="F9" s="1" t="s">
        <v>16</v>
      </c>
      <c r="G9" s="1" t="s">
        <v>18</v>
      </c>
      <c r="H9" s="1" t="s">
        <v>21</v>
      </c>
    </row>
    <row r="10" spans="1:8" x14ac:dyDescent="0.35">
      <c r="A10">
        <v>1</v>
      </c>
      <c r="B10" t="s">
        <v>24</v>
      </c>
      <c r="C10" t="s">
        <v>25</v>
      </c>
      <c r="D10" s="3">
        <v>90</v>
      </c>
      <c r="E10" s="3">
        <v>95</v>
      </c>
      <c r="F10" s="3">
        <v>90</v>
      </c>
      <c r="G10" s="3">
        <v>95</v>
      </c>
      <c r="H10" s="4">
        <f>520/6</f>
        <v>86.666666666666671</v>
      </c>
    </row>
    <row r="11" spans="1:8" x14ac:dyDescent="0.35">
      <c r="A11">
        <v>2</v>
      </c>
      <c r="B11" t="s">
        <v>26</v>
      </c>
      <c r="C11" t="s">
        <v>27</v>
      </c>
      <c r="D11" s="3">
        <v>90</v>
      </c>
      <c r="E11" s="3">
        <v>95</v>
      </c>
      <c r="F11" s="3">
        <v>90</v>
      </c>
      <c r="G11" s="3">
        <v>95</v>
      </c>
      <c r="H11" s="4">
        <f>440/6</f>
        <v>73.333333333333329</v>
      </c>
    </row>
    <row r="12" spans="1:8" x14ac:dyDescent="0.35">
      <c r="A12">
        <v>3</v>
      </c>
      <c r="B12" t="s">
        <v>28</v>
      </c>
      <c r="C12" t="s">
        <v>29</v>
      </c>
      <c r="D12" s="3">
        <v>90</v>
      </c>
      <c r="E12" s="3">
        <v>95</v>
      </c>
      <c r="F12" s="3">
        <v>90</v>
      </c>
      <c r="G12" s="3">
        <v>95</v>
      </c>
      <c r="H12" s="4">
        <f>440/6</f>
        <v>73.333333333333329</v>
      </c>
    </row>
    <row r="13" spans="1:8" x14ac:dyDescent="0.35">
      <c r="A13">
        <v>4</v>
      </c>
      <c r="B13" t="s">
        <v>30</v>
      </c>
      <c r="C13" t="s">
        <v>31</v>
      </c>
      <c r="D13" s="3">
        <v>90</v>
      </c>
      <c r="E13" s="3">
        <v>95</v>
      </c>
      <c r="F13" s="3">
        <v>90</v>
      </c>
      <c r="G13" s="3">
        <v>95</v>
      </c>
      <c r="H13" s="4">
        <f>400/6</f>
        <v>66.666666666666671</v>
      </c>
    </row>
    <row r="14" spans="1:8" x14ac:dyDescent="0.35">
      <c r="A14">
        <v>5</v>
      </c>
      <c r="B14" t="s">
        <v>32</v>
      </c>
      <c r="C14" t="s">
        <v>33</v>
      </c>
      <c r="D14" s="3">
        <v>90</v>
      </c>
      <c r="E14" s="3">
        <v>95</v>
      </c>
      <c r="F14" s="3">
        <v>90</v>
      </c>
      <c r="G14" s="3">
        <v>95</v>
      </c>
      <c r="H14" s="4">
        <f>280/6</f>
        <v>46.666666666666664</v>
      </c>
    </row>
    <row r="15" spans="1:8" x14ac:dyDescent="0.35">
      <c r="A15">
        <v>6</v>
      </c>
      <c r="B15" t="s">
        <v>34</v>
      </c>
      <c r="C15" t="s">
        <v>35</v>
      </c>
      <c r="D15" s="3">
        <v>90</v>
      </c>
      <c r="E15" s="3">
        <v>95</v>
      </c>
      <c r="F15" s="3">
        <v>90</v>
      </c>
      <c r="G15" s="3">
        <v>95</v>
      </c>
      <c r="H15" s="4">
        <f>360/6</f>
        <v>60</v>
      </c>
    </row>
    <row r="16" spans="1:8" x14ac:dyDescent="0.35">
      <c r="A16">
        <v>7</v>
      </c>
      <c r="B16" t="s">
        <v>36</v>
      </c>
      <c r="C16" t="s">
        <v>37</v>
      </c>
      <c r="D16" s="3">
        <v>90</v>
      </c>
      <c r="E16" s="3">
        <v>95</v>
      </c>
      <c r="F16" s="3">
        <v>90</v>
      </c>
      <c r="G16" s="3">
        <v>95</v>
      </c>
      <c r="H16" s="4">
        <f>320/6</f>
        <v>53.333333333333336</v>
      </c>
    </row>
    <row r="17" spans="1:8" x14ac:dyDescent="0.35">
      <c r="A17">
        <v>8</v>
      </c>
      <c r="B17" t="s">
        <v>38</v>
      </c>
      <c r="C17" t="s">
        <v>39</v>
      </c>
      <c r="D17" s="3">
        <v>90</v>
      </c>
      <c r="E17" s="3">
        <v>95</v>
      </c>
      <c r="F17" s="3">
        <v>90</v>
      </c>
      <c r="G17" s="3">
        <v>95</v>
      </c>
      <c r="H17" s="4">
        <f>440/6</f>
        <v>73.333333333333329</v>
      </c>
    </row>
    <row r="18" spans="1:8" x14ac:dyDescent="0.35">
      <c r="A18">
        <v>9</v>
      </c>
      <c r="B18" t="s">
        <v>40</v>
      </c>
      <c r="C18" t="s">
        <v>41</v>
      </c>
      <c r="D18" s="3">
        <v>90</v>
      </c>
      <c r="E18" s="3">
        <v>95</v>
      </c>
      <c r="F18" s="3">
        <v>90</v>
      </c>
      <c r="G18" s="3">
        <v>95</v>
      </c>
      <c r="H18" s="4">
        <f>280/6</f>
        <v>46.666666666666664</v>
      </c>
    </row>
    <row r="19" spans="1:8" x14ac:dyDescent="0.35">
      <c r="A19">
        <v>10</v>
      </c>
      <c r="B19" t="s">
        <v>42</v>
      </c>
      <c r="C19" t="s">
        <v>43</v>
      </c>
      <c r="D19" s="3">
        <v>90</v>
      </c>
      <c r="E19" s="3">
        <v>95</v>
      </c>
      <c r="F19" s="3">
        <v>90</v>
      </c>
      <c r="G19" s="3">
        <v>95</v>
      </c>
      <c r="H19" s="4">
        <f>320/6</f>
        <v>53.333333333333336</v>
      </c>
    </row>
    <row r="20" spans="1:8" x14ac:dyDescent="0.35">
      <c r="A20">
        <v>11</v>
      </c>
      <c r="B20" t="s">
        <v>44</v>
      </c>
      <c r="C20" t="s">
        <v>45</v>
      </c>
      <c r="D20" s="3">
        <v>90</v>
      </c>
      <c r="E20" s="3">
        <v>95</v>
      </c>
      <c r="F20" s="3">
        <v>90</v>
      </c>
      <c r="G20" s="3">
        <v>95</v>
      </c>
      <c r="H20" s="4">
        <f>200/6</f>
        <v>33.333333333333336</v>
      </c>
    </row>
    <row r="21" spans="1:8" x14ac:dyDescent="0.35">
      <c r="A21">
        <v>12</v>
      </c>
      <c r="B21" t="s">
        <v>46</v>
      </c>
      <c r="C21" t="s">
        <v>47</v>
      </c>
      <c r="D21" s="3">
        <v>90</v>
      </c>
      <c r="E21" s="3">
        <v>95</v>
      </c>
      <c r="F21" s="3">
        <v>90</v>
      </c>
      <c r="G21" s="3">
        <v>95</v>
      </c>
      <c r="H21" s="4">
        <f>240/6</f>
        <v>40</v>
      </c>
    </row>
    <row r="22" spans="1:8" x14ac:dyDescent="0.35">
      <c r="A22">
        <v>13</v>
      </c>
      <c r="B22" t="s">
        <v>48</v>
      </c>
      <c r="C22" t="s">
        <v>49</v>
      </c>
      <c r="D22" s="3">
        <v>90</v>
      </c>
      <c r="E22" s="3">
        <v>95</v>
      </c>
      <c r="F22" s="3">
        <v>90</v>
      </c>
      <c r="G22" s="3">
        <v>95</v>
      </c>
      <c r="H22" s="4">
        <f>400/6</f>
        <v>66.666666666666671</v>
      </c>
    </row>
    <row r="23" spans="1:8" x14ac:dyDescent="0.35">
      <c r="A23">
        <v>14</v>
      </c>
      <c r="B23" t="s">
        <v>50</v>
      </c>
      <c r="C23" t="s">
        <v>51</v>
      </c>
      <c r="D23" s="3">
        <v>90</v>
      </c>
      <c r="E23" s="3">
        <v>95</v>
      </c>
      <c r="F23" s="3">
        <v>90</v>
      </c>
      <c r="G23" s="3">
        <v>95</v>
      </c>
      <c r="H23" s="4">
        <f>360/6</f>
        <v>60</v>
      </c>
    </row>
    <row r="24" spans="1:8" x14ac:dyDescent="0.35">
      <c r="A24">
        <v>15</v>
      </c>
      <c r="B24" t="s">
        <v>52</v>
      </c>
      <c r="C24" t="s">
        <v>53</v>
      </c>
      <c r="D24" s="3">
        <v>90</v>
      </c>
      <c r="E24" s="3">
        <v>95</v>
      </c>
      <c r="F24" s="3">
        <v>90</v>
      </c>
      <c r="G24" s="3">
        <v>95</v>
      </c>
      <c r="H24" s="4">
        <f>520/6</f>
        <v>86.666666666666671</v>
      </c>
    </row>
    <row r="25" spans="1:8" x14ac:dyDescent="0.35">
      <c r="A25">
        <v>16</v>
      </c>
      <c r="B25" t="s">
        <v>54</v>
      </c>
      <c r="C25" t="s">
        <v>55</v>
      </c>
      <c r="D25" s="3">
        <v>90</v>
      </c>
      <c r="E25" s="3">
        <v>95</v>
      </c>
      <c r="F25" s="3">
        <v>90</v>
      </c>
      <c r="G25" s="3">
        <v>95</v>
      </c>
      <c r="H25" s="4">
        <f>240/6</f>
        <v>40</v>
      </c>
    </row>
    <row r="26" spans="1:8" x14ac:dyDescent="0.35">
      <c r="A26">
        <v>17</v>
      </c>
      <c r="B26" t="s">
        <v>56</v>
      </c>
      <c r="C26" t="s">
        <v>57</v>
      </c>
      <c r="D26" s="3">
        <v>90</v>
      </c>
      <c r="E26" s="3">
        <v>95</v>
      </c>
      <c r="F26" s="3">
        <v>90</v>
      </c>
      <c r="G26" s="3">
        <v>95</v>
      </c>
      <c r="H26" s="4">
        <f>520/6</f>
        <v>86.666666666666671</v>
      </c>
    </row>
    <row r="27" spans="1:8" x14ac:dyDescent="0.35">
      <c r="A27">
        <v>18</v>
      </c>
      <c r="B27" t="s">
        <v>58</v>
      </c>
      <c r="C27" t="s">
        <v>59</v>
      </c>
      <c r="D27" s="3">
        <v>90</v>
      </c>
      <c r="E27" s="3">
        <v>95</v>
      </c>
      <c r="F27" s="3">
        <v>90</v>
      </c>
      <c r="G27" s="3">
        <v>95</v>
      </c>
      <c r="H27" s="4">
        <f>440/6</f>
        <v>73.333333333333329</v>
      </c>
    </row>
    <row r="28" spans="1:8" x14ac:dyDescent="0.35">
      <c r="A28">
        <v>19</v>
      </c>
      <c r="B28" t="s">
        <v>60</v>
      </c>
      <c r="C28" t="s">
        <v>61</v>
      </c>
      <c r="D28" s="3">
        <v>90</v>
      </c>
      <c r="E28" s="3">
        <v>95</v>
      </c>
      <c r="F28" s="3">
        <v>90</v>
      </c>
      <c r="G28" s="3">
        <v>95</v>
      </c>
      <c r="H28" s="4">
        <f>520/6</f>
        <v>86.666666666666671</v>
      </c>
    </row>
    <row r="29" spans="1:8" x14ac:dyDescent="0.35">
      <c r="A29">
        <v>20</v>
      </c>
      <c r="B29" t="s">
        <v>62</v>
      </c>
      <c r="C29" t="s">
        <v>63</v>
      </c>
      <c r="D29" s="3">
        <v>90</v>
      </c>
      <c r="E29" s="3">
        <v>95</v>
      </c>
      <c r="F29" s="3">
        <v>90</v>
      </c>
      <c r="G29" s="3">
        <v>95</v>
      </c>
      <c r="H29" s="4">
        <f>480/6</f>
        <v>80</v>
      </c>
    </row>
    <row r="30" spans="1:8" x14ac:dyDescent="0.35">
      <c r="A30">
        <v>21</v>
      </c>
      <c r="B30" t="s">
        <v>64</v>
      </c>
      <c r="C30" t="s">
        <v>65</v>
      </c>
      <c r="D30" s="3">
        <v>90</v>
      </c>
      <c r="E30" s="3">
        <v>95</v>
      </c>
      <c r="F30" s="3">
        <v>90</v>
      </c>
      <c r="G30" s="3">
        <v>95</v>
      </c>
      <c r="H30" s="4">
        <f>520/6</f>
        <v>86.666666666666671</v>
      </c>
    </row>
    <row r="31" spans="1:8" x14ac:dyDescent="0.35">
      <c r="A31">
        <v>22</v>
      </c>
      <c r="B31" t="s">
        <v>66</v>
      </c>
      <c r="C31" t="s">
        <v>67</v>
      </c>
      <c r="D31" s="3">
        <v>90</v>
      </c>
      <c r="E31" s="3">
        <v>95</v>
      </c>
      <c r="F31" s="3">
        <v>90</v>
      </c>
      <c r="G31" s="3">
        <v>95</v>
      </c>
      <c r="H31" s="4">
        <f>520/6</f>
        <v>86.666666666666671</v>
      </c>
    </row>
    <row r="32" spans="1:8" x14ac:dyDescent="0.35">
      <c r="D32" s="3"/>
      <c r="E32" s="3"/>
      <c r="F32" s="3"/>
      <c r="G32" s="3"/>
      <c r="H32" s="4"/>
    </row>
  </sheetData>
  <mergeCells count="6">
    <mergeCell ref="H8"/>
    <mergeCell ref="A8:A9"/>
    <mergeCell ref="B8:B9"/>
    <mergeCell ref="C8:C9"/>
    <mergeCell ref="D8:E8"/>
    <mergeCell ref="F8:G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Amalia Ulfa</cp:lastModifiedBy>
  <dcterms:created xsi:type="dcterms:W3CDTF">2026-06-05T01:23:47Z</dcterms:created>
  <dcterms:modified xsi:type="dcterms:W3CDTF">2026-06-05T01:42:03Z</dcterms:modified>
  <cp:category/>
</cp:coreProperties>
</file>